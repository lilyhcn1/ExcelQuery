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60" windowWidth="21756" windowHeight="10068"/>
  </bookViews>
  <sheets>
    <sheet name="sheet1" sheetId="8" r:id="rId1"/>
    <sheet name="姓名查" sheetId="9" r:id="rId2"/>
    <sheet name="工号查" sheetId="10" state="hidden" r:id="rId3"/>
    <sheet name="帮助" sheetId="12" state="hidden" r:id="rId4"/>
  </sheets>
  <functionGroups builtInGroupCount="17"/>
  <definedNames>
    <definedName name="_xlnm._FilterDatabase" localSheetId="0" hidden="1">sheet1!$A$13:$G$15</definedName>
    <definedName name="ExternalData_1" localSheetId="0">sheet1!#REF!</definedName>
    <definedName name="ExternalData_1" localSheetId="3">帮助!$A$11:$K$16</definedName>
    <definedName name="ExternalData_1_1" localSheetId="0">sheet1!$A$9:$F$11</definedName>
    <definedName name="ExternalData_1_3" localSheetId="0">sheet1!$A$9:$F$11</definedName>
    <definedName name="ExternalData_1_4" localSheetId="0">sheet1!$A$9:$G$11</definedName>
    <definedName name="ExternalData_1_5" localSheetId="0">sheet1!$A$9:$G$11</definedName>
    <definedName name="ExternalData_1_6" localSheetId="0">sheet1!$A$9:$G$11</definedName>
    <definedName name="ExternalData_1_7" localSheetId="0">sheet1!$A$9:$G$11</definedName>
    <definedName name="ExternalData_10" localSheetId="3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3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3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3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3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3">帮助!$A$11:$A$12</definedName>
    <definedName name="ExternalData_20" localSheetId="3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3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3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3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3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3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3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3">帮助!$A$11:$A$15</definedName>
    <definedName name="ExternalData_28" localSheetId="3">帮助!$A$11:$A$12</definedName>
    <definedName name="ExternalData_29" localSheetId="3">帮助!$A$9:$A$11</definedName>
    <definedName name="ExternalData_3" localSheetId="3">帮助!$A$11:$K$12</definedName>
    <definedName name="ExternalData_30" localSheetId="3">帮助!$A$9:$A$12</definedName>
    <definedName name="ExternalData_31" localSheetId="3">帮助!$A$9:$A$19</definedName>
    <definedName name="ExternalData_32" localSheetId="3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sheet1!$A$9:$AP$9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sheet1!$A$9:$AP$9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sheet1!$A$9:$AP$9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sheet1!$A$9:$AP$9</definedName>
    <definedName name="ExternalData_386" localSheetId="0">sheet1!#REF!</definedName>
    <definedName name="ExternalData_387" localSheetId="0">sheet1!#REF!</definedName>
    <definedName name="ExternalData_388" localSheetId="0">sheet1!$A$9:$AP$9</definedName>
    <definedName name="ExternalData_389" localSheetId="0">sheet1!$A$9:$AP$9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sheet1!$A$9:$AP$9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3">帮助!$A$11:$B$12</definedName>
    <definedName name="ExternalData_400" localSheetId="0">sheet1!#REF!</definedName>
    <definedName name="ExternalData_402" localSheetId="0">sheet1!#REF!</definedName>
    <definedName name="ExternalData_403" localSheetId="0">sheet1!$A$9:$AP$9</definedName>
    <definedName name="ExternalData_404" localSheetId="0">sheet1!#REF!</definedName>
    <definedName name="ExternalData_405" localSheetId="0">sheet1!#REF!</definedName>
    <definedName name="ExternalData_407" localSheetId="0">sheet1!$A$9:$AP$9</definedName>
    <definedName name="ExternalData_408" localSheetId="0">sheet1!#REF!</definedName>
    <definedName name="ExternalData_409" localSheetId="0">sheet1!$A$9:$AP$9</definedName>
    <definedName name="ExternalData_411" localSheetId="0">sheet1!#REF!</definedName>
    <definedName name="ExternalData_412" localSheetId="0">sheet1!#REF!</definedName>
    <definedName name="ExternalData_413" localSheetId="0">sheet1!$A$9:$AP$9</definedName>
    <definedName name="ExternalData_415" localSheetId="0">sheet1!$A$9:$AP$9</definedName>
    <definedName name="ExternalData_417" localSheetId="0">sheet1!$A$9:$AP$9</definedName>
    <definedName name="ExternalData_419" localSheetId="0">sheet1!#REF!</definedName>
    <definedName name="ExternalData_420" localSheetId="0">sheet1!$A$9:$AP$9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sheet1!$A$9:$AP$9</definedName>
    <definedName name="ExternalData_430" localSheetId="0">sheet1!#REF!</definedName>
    <definedName name="ExternalData_432" localSheetId="0">sheet1!$A$9:$AP$9</definedName>
    <definedName name="ExternalData_433" localSheetId="0">sheet1!#REF!</definedName>
    <definedName name="ExternalData_434" localSheetId="0">sheet1!#REF!</definedName>
    <definedName name="ExternalData_435" localSheetId="0">sheet1!$A$9:$AP$9</definedName>
    <definedName name="ExternalData_436" localSheetId="0">sheet1!#REF!</definedName>
    <definedName name="ExternalData_437" localSheetId="0">sheet1!$A$9:$AP$9</definedName>
    <definedName name="ExternalData_438" localSheetId="0">sheet1!$A$9:$AP$9</definedName>
    <definedName name="ExternalData_439" localSheetId="0">sheet1!#REF!</definedName>
    <definedName name="ExternalData_440" localSheetId="0">sheet1!$A$9:$AP$9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sheet1!$A$9:$AP$9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3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" localSheetId="3">帮助!$A$11:$B$13</definedName>
    <definedName name="ExternalData_618" localSheetId="0">sheet1!$A$9:$AW$10</definedName>
    <definedName name="ExternalData_620" localSheetId="0">sheet1!$A$9:$AW$10</definedName>
    <definedName name="ExternalData_621" localSheetId="0">sheet1!$A$9:$AW$10</definedName>
    <definedName name="ExternalData_622" localSheetId="0">sheet1!$A$9:$AW$10</definedName>
    <definedName name="ExternalData_623" localSheetId="0">sheet1!$A$9:$AW$10</definedName>
    <definedName name="ExternalData_624" localSheetId="0">sheet1!$A$9:$AW$10</definedName>
    <definedName name="ExternalData_626" localSheetId="0">sheet1!$A$9:$AW$10</definedName>
    <definedName name="ExternalData_627" localSheetId="0">sheet1!$A$9:$AX$10</definedName>
    <definedName name="ExternalData_628" localSheetId="0">sheet1!$A$9:$AW$10</definedName>
    <definedName name="ExternalData_629" localSheetId="0">sheet1!$A$9:$BH$10</definedName>
    <definedName name="ExternalData_630" localSheetId="0">sheet1!$A$9:$AW$10</definedName>
    <definedName name="ExternalData_631" localSheetId="0">sheet1!$A$9:$AW$10</definedName>
    <definedName name="ExternalData_632" localSheetId="0">sheet1!$A$9:$AW$10</definedName>
    <definedName name="ExternalData_633" localSheetId="0">sheet1!$A$9:$AW$10</definedName>
    <definedName name="ExternalData_634" localSheetId="0">sheet1!$A$9:$AW$10</definedName>
    <definedName name="ExternalData_635" localSheetId="0">sheet1!$A$9:$AW$10</definedName>
    <definedName name="ExternalData_636" localSheetId="0">sheet1!$A$9:$AW$10</definedName>
    <definedName name="ExternalData_637" localSheetId="0">sheet1!$A$9:$AW$10</definedName>
    <definedName name="ExternalData_638" localSheetId="0">sheet1!$A$9:$AW$10</definedName>
    <definedName name="ExternalData_639" localSheetId="0">sheet1!$A$9:$AW$10</definedName>
    <definedName name="ExternalData_640" localSheetId="0">sheet1!$A$9:$AW$10</definedName>
    <definedName name="ExternalData_641" localSheetId="0">sheet1!$A$9:$AW$10</definedName>
    <definedName name="ExternalData_642" localSheetId="0">sheet1!$A$9:$AW$10</definedName>
    <definedName name="ExternalData_643" localSheetId="0">sheet1!$A$9:$AW$10</definedName>
    <definedName name="ExternalData_644" localSheetId="0">sheet1!$A$9:$AW$10</definedName>
    <definedName name="ExternalData_645" localSheetId="0">sheet1!$A$9:$AW$10</definedName>
    <definedName name="ExternalData_646" localSheetId="0">sheet1!$A$9:$AW$10</definedName>
    <definedName name="ExternalData_647" localSheetId="0">sheet1!$A$9:$AW$10</definedName>
    <definedName name="ExternalData_648" localSheetId="0">sheet1!$A$9:$AW$10</definedName>
    <definedName name="ExternalData_649" localSheetId="0">sheet1!$A$9:$AW$10</definedName>
    <definedName name="ExternalData_650" localSheetId="0">sheet1!$A$9:$AW$10</definedName>
    <definedName name="ExternalData_651" localSheetId="0">sheet1!$A$9:$AW$10</definedName>
    <definedName name="ExternalData_652" localSheetId="0">sheet1!$A$9:$AW$10</definedName>
    <definedName name="ExternalData_653" localSheetId="0">sheet1!$A$9:$AW$10</definedName>
    <definedName name="ExternalData_654" localSheetId="0">sheet1!$A$9:$AW$10</definedName>
    <definedName name="ExternalData_655" localSheetId="0">sheet1!$A$9:$AW$10</definedName>
    <definedName name="ExternalData_656" localSheetId="0">sheet1!$A$9:$AW$10</definedName>
    <definedName name="ExternalData_657" localSheetId="0">sheet1!$A$9:$AW$10</definedName>
    <definedName name="ExternalData_658" localSheetId="0">sheet1!$A$9:$AW$10</definedName>
    <definedName name="ExternalData_659" localSheetId="0">sheet1!$A$9:$AW$10</definedName>
    <definedName name="ExternalData_660" localSheetId="0">sheet1!$A$9:$AW$10</definedName>
    <definedName name="ExternalData_661" localSheetId="0">sheet1!$A$9:$AW$10</definedName>
    <definedName name="ExternalData_662" localSheetId="0">sheet1!$A$9:$AW$10</definedName>
    <definedName name="ExternalData_663" localSheetId="0">sheet1!$A$9:$AW$10</definedName>
    <definedName name="ExternalData_668" localSheetId="0">sheet1!$A$9:$AW$10</definedName>
    <definedName name="ExternalData_669" localSheetId="0">sheet1!$A$9:$AW$10</definedName>
    <definedName name="ExternalData_670" localSheetId="0">sheet1!$A$9:$AW$10</definedName>
    <definedName name="ExternalData_671" localSheetId="0">sheet1!$A$9:$AW$10</definedName>
    <definedName name="ExternalData_672" localSheetId="0">sheet1!$A$9:$AW$10</definedName>
    <definedName name="ExternalData_673" localSheetId="0">sheet1!$A$9:$AW$10</definedName>
    <definedName name="ExternalData_674" localSheetId="0">sheet1!$A$9:$AW$10</definedName>
    <definedName name="ExternalData_675" localSheetId="0">sheet1!$A$9:$AW$10</definedName>
    <definedName name="ExternalData_677" localSheetId="0">sheet1!$A$9:$AW$10</definedName>
    <definedName name="ExternalData_682" localSheetId="0">sheet1!$A$9:$AW$10</definedName>
    <definedName name="ExternalData_686" localSheetId="0">sheet1!$A$9:$AW$10</definedName>
    <definedName name="ExternalData_692" localSheetId="0">sheet1!$A$9:$AW$10</definedName>
    <definedName name="ExternalData_693" localSheetId="0">sheet1!$A$9:$AW$10</definedName>
    <definedName name="ExternalData_694" localSheetId="0">sheet1!$A$9:$AW$10</definedName>
    <definedName name="ExternalData_695" localSheetId="0">sheet1!$A$9:$AW$10</definedName>
    <definedName name="ExternalData_696" localSheetId="0">sheet1!$A$9:$AW$10</definedName>
    <definedName name="ExternalData_697" localSheetId="0">sheet1!$A$9:$AW$10</definedName>
    <definedName name="ExternalData_699" localSheetId="0">sheet1!$A$9:$AW$10</definedName>
    <definedName name="ExternalData_7" localSheetId="3">帮助!$A$11:$A$12</definedName>
    <definedName name="ExternalData_700" localSheetId="0">sheet1!$A$9:$AW$10</definedName>
    <definedName name="ExternalData_701" localSheetId="0">sheet1!$A$9:$AW$10</definedName>
    <definedName name="ExternalData_702" localSheetId="0">sheet1!$A$9:$AW$10</definedName>
    <definedName name="ExternalData_703" localSheetId="0">sheet1!$A$9:$AW$10</definedName>
    <definedName name="ExternalData_704" localSheetId="0">sheet1!$A$9:$AW$10</definedName>
    <definedName name="ExternalData_705" localSheetId="0">sheet1!$A$9:$AW$10</definedName>
    <definedName name="ExternalData_706" localSheetId="0">sheet1!$A$9:$AW$10</definedName>
    <definedName name="ExternalData_707" localSheetId="0">sheet1!$A$9:$AW$10</definedName>
    <definedName name="ExternalData_708" localSheetId="0">sheet1!$A$9:$AW$10</definedName>
    <definedName name="ExternalData_710" localSheetId="0">sheet1!$A$9:$AW$10</definedName>
    <definedName name="ExternalData_711" localSheetId="0">sheet1!$A$9:$AW$10</definedName>
    <definedName name="ExternalData_712" localSheetId="0">sheet1!$A$9:$AW$10</definedName>
    <definedName name="ExternalData_715" localSheetId="0">sheet1!$A$9:$AW$10</definedName>
    <definedName name="ExternalData_716" localSheetId="0">sheet1!$A$9:$AW$11</definedName>
    <definedName name="ExternalData_717" localSheetId="0">sheet1!$A$9:$AW$11</definedName>
    <definedName name="ExternalData_718" localSheetId="0">sheet1!#REF!</definedName>
    <definedName name="ExternalData_719" localSheetId="0">sheet1!$A$9:$AW$11</definedName>
    <definedName name="ExternalData_720" localSheetId="0">sheet1!$A$9:$AW$11</definedName>
    <definedName name="ExternalData_721" localSheetId="0">sheet1!$A$9:$AW$11</definedName>
    <definedName name="ExternalData_722" localSheetId="0">sheet1!$A$9:$AW$11</definedName>
    <definedName name="ExternalData_723" localSheetId="0">sheet1!$A$9:$AW$11</definedName>
    <definedName name="ExternalData_724" localSheetId="0">sheet1!$A$9:$AW$12</definedName>
    <definedName name="ExternalData_725" localSheetId="0">sheet1!$A$9:$AW$12</definedName>
    <definedName name="ExternalData_726" localSheetId="0">sheet1!$A$9:$AW$12</definedName>
    <definedName name="ExternalData_727" localSheetId="0">sheet1!$A$9:$AW$12</definedName>
    <definedName name="ExternalData_728" localSheetId="0">sheet1!$A$9:$AW$12</definedName>
    <definedName name="ExternalData_730" localSheetId="0">sheet1!$A$9:$AW$12</definedName>
    <definedName name="ExternalData_731" localSheetId="0">sheet1!$A$9:$AW$12</definedName>
    <definedName name="ExternalData_732" localSheetId="0">sheet1!$A$9:$AW$12</definedName>
    <definedName name="ExternalData_735" localSheetId="0">sheet1!$A$9:$AW$12</definedName>
    <definedName name="ExternalData_736" localSheetId="0">sheet1!$A$9:$AW$12</definedName>
    <definedName name="ExternalData_737" localSheetId="0">sheet1!$A$9:$AW$12</definedName>
    <definedName name="ExternalData_738" localSheetId="0">sheet1!$A$9:$AW$12</definedName>
    <definedName name="ExternalData_739" localSheetId="0">sheet1!$A$9:$AW$12</definedName>
    <definedName name="ExternalData_740" localSheetId="0">sheet1!$A$9:$AW$12</definedName>
    <definedName name="ExternalData_741" localSheetId="0">sheet1!$A$9:$AW$12</definedName>
    <definedName name="ExternalData_742" localSheetId="0">sheet1!$A$9:$AW$12</definedName>
    <definedName name="ExternalData_743" localSheetId="0">sheet1!$A$9:$AW$12</definedName>
    <definedName name="ExternalData_744" localSheetId="0">sheet1!$A$9:$AW$12</definedName>
    <definedName name="ExternalData_745" localSheetId="0">sheet1!$A$9:$AW$12</definedName>
    <definedName name="ExternalData_746" localSheetId="0">sheet1!$A$9:$AW$12</definedName>
    <definedName name="ExternalData_747" localSheetId="0">sheet1!$A$9:$AW$12</definedName>
    <definedName name="ExternalData_748" localSheetId="0">sheet1!$A$9:$AW$12</definedName>
    <definedName name="ExternalData_749" localSheetId="0">sheet1!$A$9:$AW$12</definedName>
    <definedName name="ExternalData_753" localSheetId="0">sheet1!$A$9:$AW$12</definedName>
    <definedName name="ExternalData_754" localSheetId="0">sheet1!$A$9:$AW$12</definedName>
    <definedName name="ExternalData_756" localSheetId="0">sheet1!$A$9:$AW$12</definedName>
    <definedName name="ExternalData_759" localSheetId="0">sheet1!$A$9:$AW$12</definedName>
    <definedName name="ExternalData_760" localSheetId="0">sheet1!$A$9:$AW$11</definedName>
    <definedName name="ExternalData_761" localSheetId="0">sheet1!$A$9:$AW$11</definedName>
    <definedName name="ExternalData_762" localSheetId="0">sheet1!$A$9:$AW$11</definedName>
    <definedName name="ExternalData_766" localSheetId="0">sheet1!$A$9:$AW$12</definedName>
    <definedName name="ExternalData_767" localSheetId="0">sheet1!$A$9:$AW$11</definedName>
    <definedName name="ExternalData_770" localSheetId="0">sheet1!$A$9:$AW$11</definedName>
    <definedName name="ExternalData_771" localSheetId="0">sheet1!$A$9:$AW$12</definedName>
    <definedName name="ExternalData_772" localSheetId="0">sheet1!$A$9:$AW$12</definedName>
    <definedName name="ExternalData_773" localSheetId="0">sheet1!$A$9:$AW$12</definedName>
    <definedName name="ExternalData_774" localSheetId="0">sheet1!$A$9:$AW$12</definedName>
    <definedName name="ExternalData_775" localSheetId="0">sheet1!$A$9:$AW$12</definedName>
    <definedName name="ExternalData_776" localSheetId="0">sheet1!$A$9:$AW$12</definedName>
    <definedName name="ExternalData_777" localSheetId="0">sheet1!$A$9:$AW$12</definedName>
    <definedName name="ExternalData_778" localSheetId="0">sheet1!$A$9:$AW$12</definedName>
    <definedName name="ExternalData_779" localSheetId="0">sheet1!$A$9:$BH$11</definedName>
    <definedName name="ExternalData_780" localSheetId="0">sheet1!$A$9:$F$10</definedName>
    <definedName name="ExternalData_781" localSheetId="0">sheet1!$A$9:$F$10</definedName>
    <definedName name="ExternalData_782" localSheetId="0">sheet1!$A$9:$F$10</definedName>
    <definedName name="ExternalData_783" localSheetId="0">sheet1!$A$9:$F$10</definedName>
    <definedName name="ExternalData_784" localSheetId="0">sheet1!$A$9:$F$10</definedName>
    <definedName name="ExternalData_785" localSheetId="0">sheet1!$A$9:$F$10</definedName>
    <definedName name="ExternalData_786" localSheetId="0">sheet1!$A$9:$F$10</definedName>
    <definedName name="ExternalData_787" localSheetId="0">sheet1!$A$9:$F$10</definedName>
    <definedName name="ExternalData_788" localSheetId="0">sheet1!$A$9:$F$10</definedName>
    <definedName name="ExternalData_789" localSheetId="0">sheet1!$A$9:$F$10</definedName>
    <definedName name="ExternalData_790" localSheetId="0">sheet1!$A$9:$F$10</definedName>
    <definedName name="ExternalData_791" localSheetId="0">sheet1!$A$9:$F$10</definedName>
    <definedName name="ExternalData_793" localSheetId="0">sheet1!$A$9:$F$10</definedName>
    <definedName name="ExternalData_794" localSheetId="0">sheet1!$A$9:$F$12</definedName>
    <definedName name="ExternalData_795" localSheetId="0">sheet1!$A$9:$F$12</definedName>
    <definedName name="ExternalData_796" localSheetId="0">sheet1!$A$9:$F$12</definedName>
    <definedName name="ExternalData_797" localSheetId="0">sheet1!$A$9:$F$12</definedName>
    <definedName name="ExternalData_798" localSheetId="0">sheet1!$A$9:$F$12</definedName>
    <definedName name="ExternalData_799" localSheetId="0">sheet1!$A$9:$F$12</definedName>
    <definedName name="ExternalData_8" localSheetId="3">帮助!$A$11:$A$15</definedName>
    <definedName name="ExternalData_800" localSheetId="0">sheet1!$A$9:$F$12</definedName>
    <definedName name="ExternalData_801" localSheetId="0">sheet1!$A$9:$F$12</definedName>
    <definedName name="ExternalData_802" localSheetId="0">sheet1!$A$9:$F$12</definedName>
    <definedName name="ExternalData_803" localSheetId="0">sheet1!$A$9:$F$12</definedName>
    <definedName name="ExternalData_804" localSheetId="0">sheet1!$A$9:$F$12</definedName>
    <definedName name="ExternalData_805" localSheetId="0">sheet1!#REF!</definedName>
    <definedName name="ExternalData_806" localSheetId="0">sheet1!$A$9:$F$14</definedName>
    <definedName name="ExternalData_807" localSheetId="0">sheet1!#REF!</definedName>
    <definedName name="ExternalData_808" localSheetId="0">sheet1!#REF!</definedName>
    <definedName name="ExternalData_809" localSheetId="0">sheet1!$A$9:$F$14</definedName>
    <definedName name="ExternalData_810" localSheetId="0">sheet1!$A$9:$F$11</definedName>
    <definedName name="ExternalData_811" localSheetId="0">sheet1!#REF!</definedName>
    <definedName name="ExternalData_812" localSheetId="0">sheet1!$A$9:$F$12</definedName>
    <definedName name="ExternalData_813" localSheetId="0">sheet1!$A$9:$F$11</definedName>
    <definedName name="ExternalData_814" localSheetId="0">sheet1!$A$9:$F$11</definedName>
    <definedName name="ExternalData_815" localSheetId="0">sheet1!$A$9:$F$11</definedName>
    <definedName name="ExternalData_816" localSheetId="0">sheet1!$A$9:$F$11</definedName>
    <definedName name="ExternalData_817" localSheetId="0">sheet1!$A$9:$F$12</definedName>
    <definedName name="ExternalData_818" localSheetId="0">sheet1!$A$9:$F$11</definedName>
    <definedName name="ExternalData_819" localSheetId="0">sheet1!$A$9:$F$11</definedName>
    <definedName name="ExternalData_820" localSheetId="0">sheet1!$A$9:$F$11</definedName>
    <definedName name="ExternalData_821" localSheetId="0">sheet1!$A$9:$F$12</definedName>
    <definedName name="ExternalData_822" localSheetId="0">sheet1!$A$9:$F$12</definedName>
    <definedName name="ExternalData_823" localSheetId="0">sheet1!$A$9:$F$12</definedName>
    <definedName name="ExternalData_824" localSheetId="0">sheet1!$A$9:$G$15</definedName>
    <definedName name="ExternalData_825" localSheetId="0">sheet1!$A$9:$F$12</definedName>
    <definedName name="ExternalData_826" localSheetId="0">sheet1!#REF!</definedName>
    <definedName name="ExternalData_827" localSheetId="0">sheet1!$A$9:$F$12</definedName>
    <definedName name="ExternalData_828" localSheetId="0">sheet1!$A$9:$F$12</definedName>
    <definedName name="ExternalData_829" localSheetId="0">sheet1!$A$9:$F$12</definedName>
    <definedName name="ExternalData_83" localSheetId="0">sheet1!#REF!</definedName>
    <definedName name="ExternalData_830" localSheetId="0">sheet1!$A$9:$F$13</definedName>
    <definedName name="ExternalData_831" localSheetId="0">sheet1!$A$9:$G$13</definedName>
    <definedName name="ExternalData_832" localSheetId="0">sheet1!$A$9:$F$13</definedName>
    <definedName name="ExternalData_833" localSheetId="0">sheet1!$A$9:$F$13</definedName>
    <definedName name="ExternalData_834" localSheetId="0">sheet1!$A$9:$F$13</definedName>
    <definedName name="ExternalData_835" localSheetId="0">sheet1!$A$9:$F$13</definedName>
    <definedName name="ExternalData_836" localSheetId="0">sheet1!$A$9:$F$13</definedName>
    <definedName name="ExternalData_837" localSheetId="0">sheet1!$A$9:$F$13</definedName>
    <definedName name="ExternalData_838" localSheetId="0">sheet1!$A$9:$F$13</definedName>
    <definedName name="ExternalData_839" localSheetId="0">sheet1!$A$9:$F$13</definedName>
    <definedName name="ExternalData_84" localSheetId="0">sheet1!#REF!</definedName>
    <definedName name="ExternalData_840" localSheetId="0">sheet1!$A$9:$F$13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sheet1!$A$9:$F$12</definedName>
    <definedName name="ExternalData_858" localSheetId="0">sheet1!$A$9:$F$12</definedName>
    <definedName name="ExternalData_859" localSheetId="0">sheet1!$A$9:$F$12</definedName>
    <definedName name="ExternalData_860" localSheetId="0">sheet1!$A$9:$F$12</definedName>
    <definedName name="ExternalData_861" localSheetId="0">sheet1!$A$9:$D$12</definedName>
    <definedName name="ExternalData_862" localSheetId="0">sheet1!$A$9:$E$12</definedName>
    <definedName name="ExternalData_863" localSheetId="0">sheet1!#REF!</definedName>
    <definedName name="ExternalData_864" localSheetId="0">sheet1!#REF!</definedName>
    <definedName name="ExternalData_865" localSheetId="0">sheet1!$A$9:$F$11</definedName>
    <definedName name="ExternalData_866" localSheetId="0">sheet1!$A$9:$F$11</definedName>
    <definedName name="ExternalData_867" localSheetId="0">sheet1!$A$9:$F$11</definedName>
    <definedName name="ExternalData_868" localSheetId="0">sheet1!$A$9:$F$15</definedName>
    <definedName name="ExternalData_869" localSheetId="0">sheet1!$A$9:$F$11</definedName>
    <definedName name="ExternalData_870" localSheetId="0">sheet1!$A$9:$F$11</definedName>
    <definedName name="ExternalData_871" localSheetId="0">sheet1!$A$9:$G$11</definedName>
    <definedName name="ExternalData_872" localSheetId="0">sheet1!$A$9:$G$11</definedName>
    <definedName name="ExternalData_873" localSheetId="0">sheet1!$A$9:$G$15</definedName>
    <definedName name="ExternalData_874" localSheetId="0">sheet1!$A$9:$G$15</definedName>
    <definedName name="ExternalData_875" localSheetId="0">sheet1!$A$9:$G$15</definedName>
    <definedName name="ExternalData_876" localSheetId="0">sheet1!$A$9:$G$15</definedName>
    <definedName name="ExternalData_877" localSheetId="0">sheet1!$A$9:$H$15</definedName>
    <definedName name="ExternalData_878" localSheetId="0">sheet1!$A$9:$H$15</definedName>
    <definedName name="ExternalData_879" localSheetId="0">sheet1!$A$9:$H$15</definedName>
    <definedName name="ExternalData_880" localSheetId="0">sheet1!$A$9:$H$15</definedName>
    <definedName name="ExternalData_881" localSheetId="0">sheet1!$A$9:$H$15</definedName>
    <definedName name="ExternalData_882" localSheetId="0">sheet1!$A$9:$G$15</definedName>
    <definedName name="ExternalData_883" localSheetId="0">sheet1!$A$9:$G$15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sheet1!$A$9:$G$15</definedName>
    <definedName name="ExternalData_9" localSheetId="3">帮助!$A$11:$A$15</definedName>
    <definedName name="ExternalData_90" localSheetId="0">sheet1!#REF!</definedName>
    <definedName name="ExternalData_900" localSheetId="0">sheet1!$A$9:$G$15</definedName>
    <definedName name="ExternalData_91" localSheetId="0">sheet1!#REF!</definedName>
    <definedName name="ExternalData_913" localSheetId="0">sheet1!#REF!</definedName>
    <definedName name="ExternalData_92" localSheetId="0">sheet1!#REF!</definedName>
    <definedName name="ExternalData_93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5" localSheetId="0">sheet1!#REF!</definedName>
    <definedName name="ExternalData_953" localSheetId="0">sheet1!$A$9:$G$15</definedName>
    <definedName name="ExternalData_954" localSheetId="0">sheet1!$A$9:$A$13</definedName>
    <definedName name="ExternalData_955" localSheetId="0">sheet1!$A$9:$G$15</definedName>
    <definedName name="ExternalData_956" localSheetId="0">sheet1!$A$9:$G$15</definedName>
    <definedName name="ExternalData_957" localSheetId="0">sheet1!$A$9:$G$15</definedName>
    <definedName name="ExternalData_96" localSheetId="0">sheet1!#REF!</definedName>
    <definedName name="ExternalData_97" localSheetId="0">sheet1!#REF!</definedName>
    <definedName name="ExternalData_98" localSheetId="0">sheet1!#REF!</definedName>
    <definedName name="ExternalData_99" localSheetId="0">sheet1!#REF!</definedName>
  </definedNames>
  <calcPr calcId="144525"/>
</workbook>
</file>

<file path=xl/calcChain.xml><?xml version="1.0" encoding="utf-8"?>
<calcChain xmlns="http://schemas.openxmlformats.org/spreadsheetml/2006/main">
  <c r="BT58" i="12" l="1"/>
  <c r="BT57" i="12"/>
  <c r="BT56" i="12"/>
  <c r="BT55" i="12"/>
  <c r="BT54" i="12"/>
  <c r="BT53" i="12"/>
  <c r="BT52" i="12"/>
  <c r="BT51" i="12"/>
  <c r="BT50" i="12"/>
  <c r="BT49" i="12"/>
  <c r="BT48" i="12"/>
  <c r="BT47" i="12"/>
  <c r="BT46" i="12"/>
  <c r="BT45" i="12"/>
  <c r="BT44" i="12"/>
  <c r="BT43" i="12"/>
  <c r="BT42" i="12"/>
  <c r="BT41" i="12"/>
  <c r="BT40" i="12"/>
  <c r="BT39" i="12"/>
  <c r="BT38" i="12"/>
  <c r="BT37" i="12"/>
  <c r="BT36" i="12"/>
  <c r="BT35" i="12"/>
  <c r="F7" i="12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B2" i="9"/>
  <c r="O5" i="8"/>
  <c r="O3" i="8"/>
  <c r="O4" i="8"/>
  <c r="C16" i="10"/>
  <c r="O7" i="9"/>
  <c r="E7" i="9"/>
  <c r="H15" i="10"/>
  <c r="E13" i="9"/>
  <c r="I14" i="9"/>
  <c r="P10" i="10"/>
  <c r="T6" i="10"/>
  <c r="D15" i="10"/>
  <c r="K7" i="10"/>
  <c r="L10" i="10"/>
  <c r="I11" i="10"/>
  <c r="Q10" i="9"/>
  <c r="B13" i="9"/>
  <c r="E8" i="9"/>
  <c r="L13" i="9"/>
  <c r="H8" i="10"/>
  <c r="C14" i="10"/>
  <c r="H3" i="10"/>
  <c r="B5" i="10"/>
  <c r="H16" i="10"/>
  <c r="H14" i="9"/>
  <c r="R3" i="10"/>
  <c r="F12" i="10"/>
  <c r="C7" i="10"/>
  <c r="U9" i="10"/>
  <c r="H10" i="10"/>
  <c r="Q15" i="10"/>
  <c r="H5" i="9"/>
  <c r="C13" i="10"/>
  <c r="F4" i="9"/>
  <c r="F10" i="9"/>
  <c r="F8" i="9"/>
  <c r="J11" i="10"/>
  <c r="F14" i="9"/>
  <c r="C13" i="9"/>
  <c r="I4" i="10"/>
  <c r="B7" i="9"/>
  <c r="G5" i="10"/>
  <c r="O14" i="9"/>
  <c r="E3" i="10"/>
  <c r="S4" i="10"/>
  <c r="R13" i="9"/>
  <c r="J13" i="9"/>
  <c r="K5" i="10"/>
  <c r="L5" i="10"/>
  <c r="E3" i="9"/>
  <c r="J16" i="10"/>
  <c r="E15" i="10"/>
  <c r="F9" i="9"/>
  <c r="K6" i="9"/>
  <c r="D10" i="9"/>
  <c r="R11" i="9"/>
  <c r="N9" i="9"/>
  <c r="C3" i="10"/>
  <c r="J13" i="10"/>
  <c r="F7" i="9"/>
  <c r="E13" i="10"/>
  <c r="P12" i="9"/>
  <c r="R6" i="9"/>
  <c r="I7" i="10"/>
  <c r="U11" i="10"/>
  <c r="S16" i="10"/>
  <c r="R3" i="9"/>
  <c r="L6" i="9"/>
  <c r="F3" i="10"/>
  <c r="P15" i="10"/>
  <c r="B3" i="10"/>
  <c r="Q3" i="10"/>
  <c r="L7" i="9"/>
  <c r="G4" i="9"/>
  <c r="F7" i="10"/>
  <c r="T8" i="10"/>
  <c r="H8" i="9"/>
  <c r="G5" i="9"/>
  <c r="D4" i="10"/>
  <c r="C4" i="10"/>
  <c r="O14" i="10"/>
  <c r="U3" i="10"/>
  <c r="Q11" i="9"/>
  <c r="P9" i="9"/>
  <c r="N8" i="9"/>
  <c r="J14" i="10"/>
  <c r="I6" i="10"/>
  <c r="P10" i="9"/>
  <c r="F11" i="10"/>
  <c r="G6" i="10"/>
  <c r="R4" i="10"/>
  <c r="S12" i="10"/>
  <c r="B4" i="9"/>
  <c r="R9" i="9"/>
  <c r="D12" i="10"/>
  <c r="I9" i="9"/>
  <c r="H9" i="9"/>
  <c r="J6" i="10"/>
  <c r="K14" i="9"/>
  <c r="T11" i="10"/>
  <c r="G4" i="10"/>
  <c r="F6" i="10"/>
  <c r="U15" i="10"/>
  <c r="I9" i="10"/>
  <c r="I16" i="10"/>
  <c r="D7" i="10"/>
  <c r="Q12" i="9"/>
  <c r="N13" i="9"/>
  <c r="Q16" i="10"/>
  <c r="N15" i="10"/>
  <c r="J10" i="9"/>
  <c r="D13" i="10"/>
  <c r="L10" i="9"/>
  <c r="R10" i="9"/>
  <c r="Q7" i="10"/>
  <c r="S3" i="10"/>
  <c r="P5" i="10"/>
  <c r="B15" i="10"/>
  <c r="D10" i="10"/>
  <c r="C5" i="9"/>
  <c r="S9" i="10"/>
  <c r="Q14" i="10"/>
  <c r="H7" i="9"/>
  <c r="J5" i="10"/>
  <c r="M5" i="10"/>
  <c r="E8" i="10"/>
  <c r="Q11" i="10"/>
  <c r="J5" i="9"/>
  <c r="Q8" i="9"/>
  <c r="N16" i="10"/>
  <c r="H9" i="10"/>
  <c r="L15" i="10"/>
  <c r="N5" i="9"/>
  <c r="L8" i="9"/>
  <c r="I3" i="9"/>
  <c r="H10" i="9"/>
  <c r="L7" i="10"/>
  <c r="P12" i="10"/>
  <c r="H7" i="10"/>
  <c r="N14" i="10"/>
  <c r="C6" i="9"/>
  <c r="L3" i="10"/>
  <c r="O6" i="9"/>
  <c r="P14" i="10"/>
  <c r="P5" i="9"/>
  <c r="K7" i="9"/>
  <c r="D5" i="10"/>
  <c r="L9" i="9"/>
  <c r="I12" i="10"/>
  <c r="I15" i="10"/>
  <c r="Q5" i="9"/>
  <c r="R6" i="10"/>
  <c r="D16" i="10"/>
  <c r="Q14" i="9"/>
  <c r="O12" i="10"/>
  <c r="J3" i="9"/>
  <c r="O15" i="10"/>
  <c r="K8" i="9"/>
  <c r="O9" i="10"/>
  <c r="I14" i="10"/>
  <c r="N6" i="9"/>
  <c r="G14" i="10"/>
  <c r="M5" i="9"/>
  <c r="H4" i="9"/>
  <c r="B14" i="9"/>
  <c r="K9" i="9"/>
  <c r="T14" i="10"/>
  <c r="N12" i="9"/>
  <c r="O13" i="9"/>
  <c r="E10" i="10"/>
  <c r="G14" i="9"/>
  <c r="M11" i="9"/>
  <c r="S10" i="10"/>
  <c r="K12" i="10"/>
  <c r="E4" i="9"/>
  <c r="I10" i="10"/>
  <c r="T5" i="10"/>
  <c r="O7" i="10"/>
  <c r="G15" i="10"/>
  <c r="P6" i="9"/>
  <c r="R5" i="9"/>
  <c r="L14" i="10"/>
  <c r="F12" i="9"/>
  <c r="D13" i="9"/>
  <c r="N9" i="10"/>
  <c r="R5" i="10"/>
  <c r="H14" i="10"/>
  <c r="O6" i="10"/>
  <c r="J9" i="10"/>
  <c r="U8" i="10"/>
  <c r="B3" i="9"/>
  <c r="I11" i="9"/>
  <c r="K13" i="9"/>
  <c r="E10" i="9"/>
  <c r="E6" i="10"/>
  <c r="R12" i="9"/>
  <c r="G10" i="9"/>
  <c r="J3" i="10"/>
  <c r="H12" i="10"/>
  <c r="N3" i="10"/>
  <c r="K10" i="10"/>
  <c r="R10" i="10"/>
  <c r="R16" i="10"/>
  <c r="M8" i="9"/>
  <c r="L12" i="10"/>
  <c r="B10" i="9"/>
  <c r="E6" i="9"/>
  <c r="R15" i="10"/>
  <c r="U14" i="10"/>
  <c r="H13" i="9"/>
  <c r="G7" i="10"/>
  <c r="T3" i="10"/>
  <c r="U13" i="10"/>
  <c r="R12" i="10"/>
  <c r="K15" i="10"/>
  <c r="F6" i="9"/>
  <c r="Q5" i="10"/>
  <c r="J12" i="10"/>
  <c r="F8" i="10"/>
  <c r="M3" i="9"/>
  <c r="M3" i="10"/>
  <c r="D6" i="10"/>
  <c r="G9" i="9"/>
  <c r="L11" i="9"/>
  <c r="M6" i="10"/>
  <c r="G3" i="9"/>
  <c r="K6" i="10"/>
  <c r="E9" i="10"/>
  <c r="J8" i="10"/>
  <c r="C11" i="10"/>
  <c r="B16" i="10"/>
  <c r="K5" i="9"/>
  <c r="F5" i="9"/>
  <c r="F9" i="10"/>
  <c r="P11" i="10"/>
  <c r="R8" i="9"/>
  <c r="O8" i="9"/>
  <c r="G13" i="10"/>
  <c r="D5" i="9"/>
  <c r="P3" i="9"/>
  <c r="C14" i="9"/>
  <c r="C11" i="9"/>
  <c r="U12" i="10"/>
  <c r="M6" i="9"/>
  <c r="P11" i="9"/>
  <c r="U6" i="10"/>
  <c r="C12" i="10"/>
  <c r="C3" i="9"/>
  <c r="C8" i="9"/>
  <c r="O16" i="10"/>
  <c r="J8" i="9"/>
  <c r="D8" i="9"/>
  <c r="I5" i="10"/>
  <c r="G13" i="9"/>
  <c r="P16" i="10"/>
  <c r="K3" i="10"/>
  <c r="E5" i="10"/>
  <c r="F14" i="10"/>
  <c r="P6" i="10"/>
  <c r="B10" i="10"/>
  <c r="E14" i="9"/>
  <c r="L12" i="9"/>
  <c r="D12" i="9"/>
  <c r="B4" i="10"/>
  <c r="U4" i="10"/>
  <c r="B12" i="10"/>
  <c r="K14" i="10"/>
  <c r="Q10" i="10"/>
  <c r="J12" i="9"/>
  <c r="T9" i="10"/>
  <c r="R7" i="10"/>
  <c r="M12" i="10"/>
  <c r="K11" i="10"/>
  <c r="J6" i="9"/>
  <c r="L8" i="10"/>
  <c r="N11" i="10"/>
  <c r="G12" i="9"/>
  <c r="E12" i="10"/>
  <c r="M9" i="9"/>
  <c r="T16" i="10"/>
  <c r="N4" i="10"/>
  <c r="B9" i="10"/>
  <c r="C9" i="10"/>
  <c r="K4" i="9"/>
  <c r="F4" i="10"/>
  <c r="Q8" i="10"/>
  <c r="J14" i="9"/>
  <c r="P7" i="10"/>
  <c r="E16" i="10"/>
  <c r="C15" i="10"/>
  <c r="L5" i="9"/>
  <c r="O10" i="9"/>
  <c r="M13" i="9"/>
  <c r="O9" i="9"/>
  <c r="J4" i="9"/>
  <c r="G3" i="10"/>
  <c r="T4" i="10"/>
  <c r="R13" i="10"/>
  <c r="S7" i="10"/>
  <c r="B11" i="10"/>
  <c r="F13" i="10"/>
  <c r="P4" i="10"/>
  <c r="I10" i="9"/>
  <c r="S13" i="10"/>
  <c r="E5" i="9"/>
  <c r="N3" i="9"/>
  <c r="B12" i="9"/>
  <c r="I13" i="10"/>
  <c r="H5" i="10"/>
  <c r="N5" i="10"/>
  <c r="N8" i="10"/>
  <c r="M12" i="9"/>
  <c r="K8" i="10"/>
  <c r="N7" i="10"/>
  <c r="J7" i="10"/>
  <c r="S8" i="10"/>
  <c r="Q12" i="10"/>
  <c r="Q3" i="9"/>
  <c r="K13" i="10"/>
  <c r="N4" i="9"/>
  <c r="D3" i="9"/>
  <c r="O12" i="9"/>
  <c r="G8" i="9"/>
  <c r="D14" i="10"/>
  <c r="O11" i="9"/>
  <c r="K12" i="9"/>
  <c r="D9" i="10"/>
  <c r="I12" i="9"/>
  <c r="D4" i="9"/>
  <c r="K4" i="10"/>
  <c r="G9" i="10"/>
  <c r="L9" i="10"/>
  <c r="L4" i="10"/>
  <c r="M4" i="10"/>
  <c r="I5" i="9"/>
  <c r="G11" i="10"/>
  <c r="Q13" i="9"/>
  <c r="R4" i="9"/>
  <c r="T12" i="10"/>
  <c r="M10" i="9"/>
  <c r="P3" i="10"/>
  <c r="C5" i="10"/>
  <c r="J4" i="10"/>
  <c r="R7" i="9"/>
  <c r="B6" i="10"/>
  <c r="C9" i="9"/>
  <c r="H12" i="9"/>
  <c r="F16" i="10"/>
  <c r="S15" i="10"/>
  <c r="Q6" i="9"/>
  <c r="C12" i="9"/>
  <c r="L14" i="9"/>
  <c r="N12" i="10"/>
  <c r="E4" i="10"/>
  <c r="O4" i="9"/>
  <c r="E11" i="9"/>
  <c r="Q7" i="9"/>
  <c r="U5" i="10"/>
  <c r="O8" i="10"/>
  <c r="F3" i="9"/>
  <c r="I4" i="9"/>
  <c r="D6" i="9"/>
  <c r="O3" i="10"/>
  <c r="N6" i="10"/>
  <c r="M13" i="10"/>
  <c r="O11" i="10"/>
  <c r="Q13" i="10"/>
  <c r="M4" i="9"/>
  <c r="G11" i="9"/>
  <c r="M8" i="10"/>
  <c r="L13" i="10"/>
  <c r="I8" i="10"/>
  <c r="Q9" i="10"/>
  <c r="E9" i="9"/>
  <c r="D3" i="10"/>
  <c r="U10" i="10"/>
  <c r="E14" i="10"/>
  <c r="R9" i="10"/>
  <c r="H4" i="10"/>
  <c r="L11" i="10"/>
  <c r="P8" i="10"/>
  <c r="J10" i="10"/>
  <c r="P13" i="10"/>
  <c r="S5" i="10"/>
  <c r="M14" i="10"/>
  <c r="U7" i="10"/>
  <c r="H11" i="10"/>
  <c r="B8" i="10"/>
  <c r="J9" i="9"/>
  <c r="T7" i="10"/>
  <c r="T13" i="10"/>
  <c r="K11" i="9"/>
  <c r="E12" i="9"/>
  <c r="R8" i="10"/>
  <c r="O4" i="10"/>
  <c r="Q6" i="10"/>
  <c r="I3" i="10"/>
  <c r="E11" i="10"/>
  <c r="C10" i="9"/>
  <c r="O10" i="10"/>
  <c r="U16" i="10"/>
  <c r="L4" i="9"/>
  <c r="P9" i="10"/>
  <c r="E7" i="10"/>
  <c r="F15" i="10"/>
  <c r="M16" i="10"/>
  <c r="B9" i="9"/>
  <c r="P8" i="9"/>
  <c r="H6" i="9"/>
  <c r="N10" i="10"/>
  <c r="B6" i="9"/>
  <c r="O5" i="10"/>
  <c r="D8" i="10"/>
  <c r="H6" i="10"/>
  <c r="G10" i="10"/>
  <c r="M15" i="10"/>
  <c r="H3" i="9"/>
  <c r="I6" i="9"/>
  <c r="F5" i="10"/>
  <c r="G16" i="10"/>
  <c r="B8" i="9"/>
  <c r="J7" i="9"/>
  <c r="C10" i="10"/>
  <c r="M10" i="10"/>
  <c r="N10" i="9"/>
  <c r="C4" i="9"/>
  <c r="G7" i="9"/>
  <c r="T10" i="10"/>
  <c r="G6" i="9"/>
  <c r="N7" i="9"/>
  <c r="M14" i="9"/>
  <c r="C8" i="10"/>
  <c r="R14" i="9"/>
  <c r="F10" i="10"/>
  <c r="S11" i="10"/>
  <c r="I7" i="9"/>
  <c r="N13" i="10"/>
  <c r="Q9" i="9"/>
  <c r="K16" i="10"/>
  <c r="H11" i="9"/>
  <c r="P14" i="9"/>
  <c r="D11" i="10"/>
  <c r="Q4" i="9"/>
  <c r="B7" i="10"/>
  <c r="K9" i="10"/>
  <c r="O5" i="9"/>
  <c r="F13" i="9"/>
  <c r="C7" i="9"/>
  <c r="S6" i="10"/>
  <c r="M9" i="10"/>
  <c r="K3" i="9"/>
  <c r="S14" i="10"/>
  <c r="M7" i="9"/>
  <c r="I8" i="9"/>
  <c r="D14" i="9"/>
  <c r="R11" i="10"/>
  <c r="T15" i="10"/>
  <c r="M11" i="10"/>
  <c r="P7" i="9"/>
  <c r="D9" i="9"/>
  <c r="B13" i="10"/>
  <c r="M7" i="10"/>
  <c r="O13" i="10"/>
  <c r="B14" i="10"/>
  <c r="O3" i="9"/>
  <c r="J11" i="9"/>
  <c r="H13" i="10"/>
  <c r="F11" i="9"/>
  <c r="K10" i="9"/>
  <c r="D7" i="9"/>
  <c r="N11" i="9"/>
  <c r="I13" i="9"/>
  <c r="G12" i="10"/>
  <c r="L3" i="9"/>
  <c r="L16" i="10"/>
  <c r="B11" i="9"/>
  <c r="J15" i="10"/>
  <c r="B5" i="9"/>
  <c r="R14" i="10"/>
  <c r="Q4" i="10"/>
  <c r="C6" i="10"/>
  <c r="G8" i="10"/>
  <c r="P13" i="9"/>
  <c r="P4" i="9"/>
  <c r="L6" i="10"/>
  <c r="N14" i="9"/>
  <c r="D11" i="9"/>
</calcChain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有查看密码可以看所有数据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如果有些数据不需提示，可以这里设置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有上传密码可以 修改 所有数据</t>
        </r>
      </text>
    </comment>
    <comment ref="M6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下载文件时的命名规则
</t>
        </r>
      </text>
    </comment>
    <comment ref="G11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左边两个字是文件就变成上传文件</t>
        </r>
      </text>
    </comment>
  </commentList>
</comments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1" type="4" refreshedVersion="2" deleted="1" background="1" saveData="1">
    <webPr parsePre="1" consecutive="1" xl2000="1" htmlTables="1" htmlFormat="all"/>
  </connection>
  <connection id="3" name="连接12" type="4" refreshedVersion="2" deleted="1" background="1" saveData="1">
    <webPr parsePre="1" consecutive="1" xl2000="1" htmlTables="1" htmlFormat="all"/>
  </connection>
  <connection id="4" name="连接125" type="4" refreshedVersion="2" deleted="1" background="1" saveData="1">
    <webPr parsePre="1" consecutive="1" xl2000="1" htmlTables="1" htmlFormat="all"/>
  </connection>
  <connection id="5" name="连接126" type="4" refreshedVersion="2" deleted="1" background="1" saveData="1">
    <webPr parsePre="1" consecutive="1" xl2000="1" htmlTables="1" htmlFormat="all"/>
  </connection>
  <connection id="6" name="连接127" type="4" refreshedVersion="2" deleted="1" background="1" saveData="1">
    <webPr parsePre="1" consecutive="1" xl2000="1" htmlTables="1" htmlFormat="all"/>
  </connection>
  <connection id="7" name="连接13" type="4" refreshedVersion="2" deleted="1" background="1" saveData="1">
    <webPr parsePre="1" consecutive="1" xl2000="1" htmlTables="1" htmlFormat="all"/>
  </connection>
  <connection id="8" name="连接131" type="4" refreshedVersion="2" deleted="1" background="1" saveData="1">
    <webPr parsePre="1" consecutive="1" xl2000="1" htmlTables="1" htmlFormat="all"/>
  </connection>
  <connection id="9" name="连接137" type="4" refreshedVersion="2" deleted="1" background="1" saveData="1">
    <webPr parsePre="1" consecutive="1" xl2000="1" htmlTables="1" htmlFormat="all"/>
  </connection>
  <connection id="10" name="连接14" type="4" refreshedVersion="2" deleted="1" background="1" saveData="1">
    <webPr parsePre="1" consecutive="1" xl2000="1" htmlTables="1" htmlFormat="all"/>
  </connection>
  <connection id="11" name="连接167" type="4" refreshedVersion="2" deleted="1" background="1" saveData="1">
    <webPr parsePre="1" consecutive="1" xl2000="1" htmlTables="1" htmlFormat="all"/>
  </connection>
  <connection id="12" name="连接183" type="4" refreshedVersion="2" deleted="1" background="1" saveData="1">
    <webPr parsePre="1" consecutive="1" xl2000="1" htmlTables="1" htmlFormat="all"/>
  </connection>
  <connection id="13" name="连接21" type="4" refreshedVersion="2" deleted="1" background="1" saveData="1">
    <webPr parsePre="1" consecutive="1" xl2000="1" htmlTables="1" htmlFormat="all"/>
  </connection>
  <connection id="14" name="连接23" type="4" refreshedVersion="2" deleted="1" background="1" saveData="1">
    <webPr parsePre="1" consecutive="1" xl2000="1" htmlTables="1" htmlFormat="all"/>
  </connection>
  <connection id="15" name="连接27" type="4" refreshedVersion="2" deleted="1" background="1" saveData="1">
    <webPr parsePre="1" consecutive="1" xl2000="1" htmlTables="1" htmlFormat="all"/>
  </connection>
  <connection id="16" name="连接28" type="4" refreshedVersion="2" deleted="1" background="1" saveData="1">
    <webPr parsePre="1" consecutive="1" xl2000="1" htmlTables="1" htmlFormat="all"/>
  </connection>
  <connection id="17" name="连接29" type="4" refreshedVersion="2" deleted="1" background="1" saveData="1">
    <webPr parsePre="1" consecutive="1" xl2000="1" htmlTables="1" htmlFormat="all"/>
  </connection>
  <connection id="18" name="连接30" type="4" refreshedVersion="2" deleted="1" background="1" saveData="1">
    <webPr parsePre="1" consecutive="1" xl2000="1" htmlTables="1" htmlFormat="all"/>
  </connection>
  <connection id="19" name="连接31" type="4" refreshedVersion="2" deleted="1" background="1" saveData="1">
    <webPr parsePre="1" consecutive="1" xl2000="1" htmlTables="1" htmlFormat="all"/>
  </connection>
  <connection id="20" name="连接34" type="4" refreshedVersion="2" deleted="1" background="1" saveData="1">
    <webPr parsePre="1" consecutive="1" xl2000="1" htmlTables="1" htmlFormat="all"/>
  </connection>
  <connection id="21" name="连接35" type="4" refreshedVersion="2" deleted="1" background="1" saveData="1">
    <webPr parsePre="1" consecutive="1" xl2000="1" htmlTables="1" htmlFormat="all"/>
  </connection>
  <connection id="22" name="连接40" type="4" refreshedVersion="2" deleted="1" background="1" saveData="1">
    <webPr parsePre="1" consecutive="1" xl2000="1" htmlTables="1" htmlFormat="all"/>
  </connection>
  <connection id="23" name="连接43" type="4" refreshedVersion="2" deleted="1" background="1" saveData="1">
    <webPr parsePre="1" consecutive="1" xl2000="1" htmlTables="1" htmlFormat="all"/>
  </connection>
  <connection id="24" name="连接57" type="4" refreshedVersion="2" deleted="1" background="1" saveData="1">
    <webPr parsePre="1" consecutive="1" xl2000="1" htmlTables="1" htmlFormat="all"/>
  </connection>
</connections>
</file>

<file path=xl/sharedStrings.xml><?xml version="1.0" encoding="utf-8"?>
<sst xmlns="http://schemas.openxmlformats.org/spreadsheetml/2006/main" count="257" uniqueCount="200">
  <si>
    <t>数据表名</t>
  </si>
  <si>
    <t>等于</t>
  </si>
  <si>
    <t>查看密码</t>
  </si>
  <si>
    <t>查看数据</t>
  </si>
  <si>
    <t>提示字段</t>
  </si>
  <si>
    <t>d1,d2,d3,d4,d5,d6</t>
  </si>
  <si>
    <t>上传密码</t>
  </si>
  <si>
    <t>手机填写网址</t>
  </si>
  <si>
    <t>覆盖上传</t>
  </si>
  <si>
    <t>是</t>
  </si>
  <si>
    <t>复制到</t>
  </si>
  <si>
    <t>A11</t>
  </si>
  <si>
    <t>查询网址</t>
  </si>
  <si>
    <t>数据表</t>
  </si>
  <si>
    <t>sheet1</t>
  </si>
  <si>
    <t>姓名字段</t>
  </si>
  <si>
    <t>d2</t>
  </si>
  <si>
    <t>分类字段</t>
  </si>
  <si>
    <t>d5</t>
  </si>
  <si>
    <t>弹窗提示更新</t>
  </si>
  <si>
    <t>否</t>
  </si>
  <si>
    <t>ID字段</t>
  </si>
  <si>
    <t>d3</t>
  </si>
  <si>
    <t>排序字段</t>
  </si>
  <si>
    <t>免密码查询</t>
  </si>
  <si>
    <t>缩略显示</t>
  </si>
  <si>
    <t>d5,d2,d4</t>
  </si>
  <si>
    <t>文件名命名规则</t>
  </si>
  <si>
    <t>不显字段</t>
  </si>
  <si>
    <t>id,wrpw,data1,data2,ord,rpw,name,pid,custom1,custom2,sheetname</t>
  </si>
  <si>
    <t>d1</t>
  </si>
  <si>
    <t>d4</t>
  </si>
  <si>
    <t>d6</t>
  </si>
  <si>
    <t>d7</t>
  </si>
  <si>
    <t>d8</t>
  </si>
  <si>
    <t>必须要先设定</t>
  </si>
  <si>
    <t>姓名</t>
  </si>
  <si>
    <t>所在的列才能查</t>
  </si>
  <si>
    <t>方艺某</t>
  </si>
  <si>
    <t>王进1</t>
  </si>
  <si>
    <t>林世峰</t>
  </si>
  <si>
    <t>王进9</t>
  </si>
  <si>
    <t>工号</t>
  </si>
  <si>
    <t>参</t>
  </si>
  <si>
    <t>数</t>
  </si>
  <si>
    <t>维护人</t>
  </si>
  <si>
    <t>学号/工号</t>
  </si>
  <si>
    <t>显示字段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</si>
  <si>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</si>
  <si>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</si>
  <si>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6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</si>
  <si>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8</t>
    </r>
  </si>
  <si>
    <t>d9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</si>
  <si>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10</t>
    </r>
  </si>
  <si>
    <t>d11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</si>
  <si>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12</t>
    </r>
  </si>
  <si>
    <t>d13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</si>
  <si>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14</t>
    </r>
  </si>
  <si>
    <t>d15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</si>
  <si>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16</t>
    </r>
  </si>
  <si>
    <t>d17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</si>
  <si>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18</t>
    </r>
  </si>
  <si>
    <t>d19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</si>
  <si>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20</t>
    </r>
  </si>
  <si>
    <t>d21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</si>
  <si>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22</t>
    </r>
  </si>
  <si>
    <t>d23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</si>
  <si>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24</t>
    </r>
  </si>
  <si>
    <t>d25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</si>
  <si>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26</t>
    </r>
  </si>
  <si>
    <t>d27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</si>
  <si>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28</t>
    </r>
  </si>
  <si>
    <t>d29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</si>
  <si>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30</t>
    </r>
  </si>
  <si>
    <t>d31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</si>
  <si>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32</t>
    </r>
  </si>
  <si>
    <t>d33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</si>
  <si>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34</t>
    </r>
  </si>
  <si>
    <t>d35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</si>
  <si>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36</t>
    </r>
  </si>
  <si>
    <t>d37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</si>
  <si>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38</t>
    </r>
  </si>
  <si>
    <t>d39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</si>
  <si>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40</t>
    </r>
  </si>
  <si>
    <t>d41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</si>
  <si>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42</t>
    </r>
  </si>
  <si>
    <t>d43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</si>
  <si>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44</t>
    </r>
  </si>
  <si>
    <t>d45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</si>
  <si>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46</t>
    </r>
  </si>
  <si>
    <t>d47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</si>
  <si>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48</t>
    </r>
  </si>
  <si>
    <t>d49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</si>
  <si>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50</t>
    </r>
  </si>
  <si>
    <t>包含</t>
  </si>
  <si>
    <r>
      <rPr>
        <sz val="11"/>
        <color theme="1"/>
        <rFont val="宋体"/>
        <family val="3"/>
        <charset val="134"/>
      </rPr>
      <t>I</t>
    </r>
    <r>
      <rPr>
        <sz val="11"/>
        <color theme="1"/>
        <rFont val="宋体"/>
        <family val="3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</si>
  <si>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</si>
  <si>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</si>
  <si>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</si>
  <si>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</si>
  <si>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</si>
  <si>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A</t>
  </si>
  <si>
    <t>B</t>
  </si>
  <si>
    <t>C</t>
  </si>
  <si>
    <t>D</t>
  </si>
  <si>
    <t>E</t>
  </si>
  <si>
    <t>F</t>
  </si>
  <si>
    <t>G</t>
  </si>
  <si>
    <t>H</t>
  </si>
  <si>
    <t>I</t>
  </si>
  <si>
    <t>d10</t>
  </si>
  <si>
    <t>J</t>
  </si>
  <si>
    <t>K</t>
  </si>
  <si>
    <t>d12</t>
  </si>
  <si>
    <t>L</t>
  </si>
  <si>
    <t>M</t>
  </si>
  <si>
    <t>d14</t>
  </si>
  <si>
    <t>N</t>
  </si>
  <si>
    <t>O</t>
  </si>
  <si>
    <t>d16</t>
  </si>
  <si>
    <t>P</t>
  </si>
  <si>
    <t>Q</t>
  </si>
  <si>
    <t>d18</t>
  </si>
  <si>
    <t>R</t>
  </si>
  <si>
    <t>S</t>
  </si>
  <si>
    <t>d20</t>
  </si>
  <si>
    <t>T</t>
  </si>
  <si>
    <t>U</t>
  </si>
  <si>
    <t>d22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</si>
  <si>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</si>
  <si>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</si>
  <si>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</si>
  <si>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</si>
  <si>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</si>
  <si>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</si>
  <si>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</si>
  <si>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</si>
  <si>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</si>
  <si>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</si>
  <si>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</si>
  <si>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</si>
  <si>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</si>
  <si>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</si>
  <si>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</si>
  <si>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</si>
  <si>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</si>
  <si>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</si>
  <si>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</si>
  <si>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</si>
  <si>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</si>
  <si>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</si>
  <si>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</si>
  <si>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</si>
  <si>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</si>
  <si>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</si>
  <si>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</si>
  <si>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</si>
  <si>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</si>
  <si>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</si>
  <si>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</si>
  <si>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</si>
  <si>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</si>
  <si>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</si>
  <si>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</si>
  <si>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</si>
  <si>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</si>
  <si>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</si>
  <si>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</si>
  <si>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</si>
  <si>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</si>
  <si>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</si>
  <si>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</si>
  <si>
    <r>
      <t>B</t>
    </r>
    <r>
      <rPr>
        <sz val="11"/>
        <color theme="1"/>
        <rFont val="宋体"/>
        <family val="3"/>
        <charset val="134"/>
        <scheme val="minor"/>
      </rPr>
      <t>,A,C,F</t>
    </r>
    <phoneticPr fontId="21" type="noConversion"/>
  </si>
  <si>
    <t>项目名称</t>
  </si>
  <si>
    <t>项目负责人</t>
  </si>
  <si>
    <t>项目来源</t>
  </si>
  <si>
    <t>进展情况</t>
  </si>
  <si>
    <t>学校</t>
  </si>
  <si>
    <t>类型</t>
  </si>
  <si>
    <t>文件_进展汇报表</t>
  </si>
  <si>
    <t>台州历代</t>
  </si>
  <si>
    <t>张三</t>
  </si>
  <si>
    <t>杰出青年</t>
  </si>
  <si>
    <t>台州学院</t>
  </si>
  <si>
    <t>2019年进展汇报</t>
  </si>
  <si>
    <t>/Uploads/2019-05-29/5cedee9a58dfe3.42227054.zip</t>
  </si>
  <si>
    <t>后理论</t>
  </si>
  <si>
    <t>李四</t>
  </si>
  <si>
    <t>大陈岛垦荒精神的</t>
  </si>
  <si>
    <t>王五</t>
  </si>
  <si>
    <t>中世纪拉丁西</t>
  </si>
  <si>
    <t>赵六</t>
  </si>
  <si>
    <t>优秀青年</t>
  </si>
  <si>
    <t>fdkslfsfds</t>
  </si>
  <si>
    <t>fdsfewfwfdsfdlkj</t>
  </si>
  <si>
    <t>自动下载文件</t>
    <phoneticPr fontId="21" type="noConversion"/>
  </si>
  <si>
    <t>科研项目进展汇报</t>
    <phoneticPr fontId="21" type="noConversion"/>
  </si>
  <si>
    <t>是</t>
    <phoneticPr fontId="21" type="noConversion"/>
  </si>
  <si>
    <t>http://aa.r34.cc</t>
    <phoneticPr fontId="21" type="noConversion"/>
  </si>
  <si>
    <t>正在进行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</si>
</sst>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>
    <font>
      <sz val="11"/>
      <color theme="1"/>
      <name val="宋体"/>
      <charset val="134"/>
      <scheme val="minor"/>
    </font>
    <font>
      <b/>
      <sz val="11"/>
      <color theme="3" tint="0.39988402966399123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0"/>
      <name val="Helv"/>
      <family val="2"/>
    </font>
    <font>
      <sz val="11"/>
      <name val="宋体"/>
      <family val="3"/>
      <charset val="134"/>
    </font>
    <font>
      <b/>
      <sz val="18"/>
      <color rgb="FFFF0000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0"/>
      <name val="宋体"/>
      <family val="3"/>
      <charset val="134"/>
    </font>
    <font>
      <sz val="11"/>
      <color rgb="FF333333"/>
      <name val="Arial"/>
      <family val="2"/>
    </font>
    <font>
      <sz val="11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u/>
      <sz val="9"/>
      <color theme="10"/>
      <name val="宋体"/>
      <family val="3"/>
      <charset val="134"/>
      <scheme val="minor"/>
    </font>
    <font>
      <sz val="26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26"/>
      <color theme="1"/>
      <name val="宋体"/>
      <family val="3"/>
      <charset val="134"/>
      <scheme val="minor"/>
    </font>
    <font>
      <sz val="11"/>
      <color rgb="FF333333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3" tint="0.3998840296639912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8" fillId="0" borderId="0"/>
    <xf numFmtId="0" fontId="17" fillId="0" borderId="0"/>
    <xf numFmtId="0" fontId="16" fillId="0" borderId="0">
      <alignment vertical="center"/>
    </xf>
  </cellStyleXfs>
  <cellXfs count="89">
    <xf numFmtId="0" fontId="0" fillId="0" borderId="0" xfId="0">
      <alignment vertical="center"/>
    </xf>
    <xf numFmtId="0" fontId="16" fillId="0" borderId="1" xfId="4" applyBorder="1" applyAlignment="1">
      <alignment vertical="center" shrinkToFit="1"/>
    </xf>
    <xf numFmtId="0" fontId="16" fillId="0" borderId="0" xfId="4" applyBorder="1" applyAlignment="1">
      <alignment vertical="center" shrinkToFit="1"/>
    </xf>
    <xf numFmtId="0" fontId="16" fillId="0" borderId="0" xfId="4" applyAlignment="1">
      <alignment horizontal="left" vertical="center" shrinkToFit="1"/>
    </xf>
    <xf numFmtId="0" fontId="16" fillId="0" borderId="0" xfId="4" applyAlignment="1">
      <alignment vertical="center" shrinkToFit="1"/>
    </xf>
    <xf numFmtId="0" fontId="16" fillId="0" borderId="0" xfId="4" applyFill="1" applyAlignment="1">
      <alignment vertical="center" shrinkToFit="1"/>
    </xf>
    <xf numFmtId="0" fontId="16" fillId="2" borderId="0" xfId="4" applyFill="1" applyAlignment="1">
      <alignment vertical="center" shrinkToFit="1"/>
    </xf>
    <xf numFmtId="0" fontId="16" fillId="0" borderId="0" xfId="4" applyBorder="1" applyAlignment="1">
      <alignment horizontal="left" vertical="center" shrinkToFit="1"/>
    </xf>
    <xf numFmtId="0" fontId="16" fillId="0" borderId="0" xfId="4" applyBorder="1" applyAlignment="1">
      <alignment horizontal="center" vertical="center" shrinkToFit="1"/>
    </xf>
    <xf numFmtId="0" fontId="1" fillId="0" borderId="0" xfId="4" applyFont="1" applyBorder="1" applyAlignment="1">
      <alignment horizontal="center" vertical="center" shrinkToFit="1"/>
    </xf>
    <xf numFmtId="0" fontId="1" fillId="0" borderId="0" xfId="4" applyFont="1" applyBorder="1" applyAlignment="1">
      <alignment vertical="center" shrinkToFit="1"/>
    </xf>
    <xf numFmtId="0" fontId="16" fillId="2" borderId="0" xfId="4" applyFill="1" applyBorder="1" applyAlignment="1">
      <alignment vertical="center" shrinkToFit="1"/>
    </xf>
    <xf numFmtId="0" fontId="0" fillId="0" borderId="0" xfId="4" applyFont="1" applyBorder="1" applyAlignment="1">
      <alignment horizontal="center" vertical="center" shrinkToFit="1"/>
    </xf>
    <xf numFmtId="0" fontId="0" fillId="0" borderId="0" xfId="4" applyFont="1" applyFill="1" applyBorder="1" applyAlignment="1">
      <alignment horizontal="center" vertical="center" shrinkToFit="1"/>
    </xf>
    <xf numFmtId="0" fontId="0" fillId="3" borderId="0" xfId="4" applyFont="1" applyFill="1" applyBorder="1" applyAlignment="1">
      <alignment horizontal="center" vertical="center" shrinkToFit="1"/>
    </xf>
    <xf numFmtId="0" fontId="0" fillId="2" borderId="0" xfId="4" applyFont="1" applyFill="1" applyBorder="1" applyAlignment="1">
      <alignment vertical="center" shrinkToFit="1"/>
    </xf>
    <xf numFmtId="0" fontId="0" fillId="0" borderId="0" xfId="4" applyFont="1" applyBorder="1" applyAlignment="1">
      <alignment horizontal="left" vertical="center" shrinkToFit="1"/>
    </xf>
    <xf numFmtId="0" fontId="2" fillId="0" borderId="0" xfId="1" applyBorder="1" applyAlignment="1">
      <alignment vertical="center" shrinkToFit="1"/>
    </xf>
    <xf numFmtId="0" fontId="3" fillId="0" borderId="1" xfId="4" applyFont="1" applyBorder="1" applyAlignment="1">
      <alignment horizontal="left" vertical="center" shrinkToFit="1"/>
    </xf>
    <xf numFmtId="0" fontId="0" fillId="0" borderId="1" xfId="4" applyFont="1" applyBorder="1" applyAlignment="1">
      <alignment horizontal="center" vertical="center" shrinkToFit="1"/>
    </xf>
    <xf numFmtId="0" fontId="2" fillId="0" borderId="1" xfId="1" applyBorder="1" applyAlignment="1">
      <alignment vertical="center" shrinkToFit="1"/>
    </xf>
    <xf numFmtId="0" fontId="16" fillId="0" borderId="1" xfId="4" applyBorder="1" applyAlignment="1">
      <alignment horizontal="center" vertical="center" shrinkToFit="1"/>
    </xf>
    <xf numFmtId="0" fontId="0" fillId="2" borderId="1" xfId="4" applyFont="1" applyFill="1" applyBorder="1" applyAlignment="1">
      <alignment vertical="center" shrinkToFit="1"/>
    </xf>
    <xf numFmtId="0" fontId="4" fillId="0" borderId="0" xfId="4" applyFont="1" applyBorder="1" applyAlignment="1">
      <alignment horizontal="left" vertical="center" shrinkToFit="1"/>
    </xf>
    <xf numFmtId="0" fontId="0" fillId="0" borderId="0" xfId="4" applyFont="1" applyFill="1" applyBorder="1" applyAlignment="1">
      <alignment vertical="center" shrinkToFit="1"/>
    </xf>
    <xf numFmtId="0" fontId="4" fillId="0" borderId="0" xfId="4" applyFont="1" applyBorder="1" applyAlignment="1">
      <alignment vertical="center" shrinkToFit="1"/>
    </xf>
    <xf numFmtId="0" fontId="4" fillId="0" borderId="0" xfId="4" applyFont="1" applyFill="1" applyBorder="1" applyAlignment="1">
      <alignment vertical="center" shrinkToFit="1"/>
    </xf>
    <xf numFmtId="0" fontId="4" fillId="0" borderId="0" xfId="4" applyFont="1" applyAlignment="1">
      <alignment horizontal="left" vertical="center" shrinkToFit="1"/>
    </xf>
    <xf numFmtId="0" fontId="4" fillId="0" borderId="0" xfId="4" applyFont="1" applyAlignment="1">
      <alignment vertical="center" shrinkToFit="1"/>
    </xf>
    <xf numFmtId="0" fontId="0" fillId="0" borderId="0" xfId="4" applyFont="1" applyFill="1" applyAlignment="1">
      <alignment vertical="center" shrinkToFit="1"/>
    </xf>
    <xf numFmtId="0" fontId="4" fillId="0" borderId="0" xfId="4" applyFont="1" applyFill="1" applyAlignment="1">
      <alignment vertical="center" shrinkToFit="1"/>
    </xf>
    <xf numFmtId="0" fontId="0" fillId="2" borderId="0" xfId="4" applyFont="1" applyFill="1" applyAlignment="1">
      <alignment vertical="center" shrinkToFit="1"/>
    </xf>
    <xf numFmtId="0" fontId="0" fillId="0" borderId="0" xfId="4" applyFont="1" applyBorder="1" applyAlignment="1">
      <alignment vertical="center" shrinkToFit="1"/>
    </xf>
    <xf numFmtId="0" fontId="16" fillId="0" borderId="0" xfId="4" applyFill="1" applyBorder="1" applyAlignment="1">
      <alignment horizontal="center" vertical="center" shrinkToFit="1"/>
    </xf>
    <xf numFmtId="0" fontId="0" fillId="0" borderId="0" xfId="4" applyFont="1" applyAlignment="1">
      <alignment vertical="center" shrinkToFit="1"/>
    </xf>
    <xf numFmtId="0" fontId="5" fillId="0" borderId="0" xfId="4" applyNumberFormat="1" applyFont="1" applyAlignment="1">
      <alignment horizontal="left" vertical="center"/>
    </xf>
    <xf numFmtId="0" fontId="16" fillId="0" borderId="2" xfId="4" applyNumberFormat="1" applyBorder="1" applyAlignment="1">
      <alignment vertical="center" shrinkToFit="1"/>
    </xf>
    <xf numFmtId="0" fontId="6" fillId="0" borderId="0" xfId="4" applyNumberFormat="1" applyFont="1" applyAlignment="1">
      <alignment horizontal="center" shrinkToFit="1"/>
    </xf>
    <xf numFmtId="0" fontId="0" fillId="0" borderId="0" xfId="4" applyNumberFormat="1" applyFont="1" applyAlignment="1">
      <alignment shrinkToFit="1"/>
    </xf>
    <xf numFmtId="0" fontId="7" fillId="0" borderId="0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Alignment="1">
      <alignment horizontal="center" shrinkToFit="1"/>
    </xf>
    <xf numFmtId="0" fontId="16" fillId="0" borderId="0" xfId="4" applyNumberFormat="1" applyAlignment="1">
      <alignment vertical="center" shrinkToFit="1"/>
    </xf>
    <xf numFmtId="0" fontId="8" fillId="0" borderId="0" xfId="4" applyNumberFormat="1" applyFont="1" applyAlignment="1">
      <alignment horizontal="left" vertical="center"/>
    </xf>
    <xf numFmtId="0" fontId="9" fillId="0" borderId="2" xfId="4" applyNumberFormat="1" applyFont="1" applyBorder="1" applyAlignment="1">
      <alignment horizontal="center" vertical="center" shrinkToFit="1"/>
    </xf>
    <xf numFmtId="49" fontId="9" fillId="0" borderId="2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Border="1" applyAlignment="1">
      <alignment horizontal="center" vertical="center" shrinkToFit="1"/>
    </xf>
    <xf numFmtId="0" fontId="16" fillId="0" borderId="2" xfId="4" applyBorder="1" applyAlignment="1">
      <alignment vertical="center" shrinkToFit="1"/>
    </xf>
    <xf numFmtId="0" fontId="6" fillId="0" borderId="0" xfId="4" applyFont="1" applyAlignment="1">
      <alignment horizontal="center" shrinkToFit="1"/>
    </xf>
    <xf numFmtId="0" fontId="0" fillId="0" borderId="0" xfId="4" applyFont="1" applyAlignment="1">
      <alignment shrinkToFit="1"/>
    </xf>
    <xf numFmtId="0" fontId="7" fillId="0" borderId="0" xfId="4" applyFont="1" applyFill="1" applyBorder="1" applyAlignment="1">
      <alignment horizontal="center" vertical="center" shrinkToFit="1"/>
    </xf>
    <xf numFmtId="0" fontId="0" fillId="0" borderId="0" xfId="4" applyFont="1" applyAlignment="1">
      <alignment horizontal="center" shrinkToFit="1"/>
    </xf>
    <xf numFmtId="0" fontId="9" fillId="0" borderId="2" xfId="4" applyFont="1" applyBorder="1" applyAlignment="1">
      <alignment horizontal="center" vertical="center" shrinkToFit="1"/>
    </xf>
    <xf numFmtId="49" fontId="6" fillId="0" borderId="0" xfId="4" applyNumberFormat="1" applyFont="1" applyAlignment="1">
      <alignment horizontal="center" shrinkToFit="1"/>
    </xf>
    <xf numFmtId="49" fontId="10" fillId="0" borderId="0" xfId="4" applyNumberFormat="1" applyFont="1" applyAlignment="1">
      <alignment horizont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11" fillId="4" borderId="0" xfId="0" applyNumberFormat="1" applyFont="1" applyFill="1" applyBorder="1" applyAlignment="1">
      <alignment horizontal="center" vertical="center" wrapText="1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Border="1" applyAlignment="1">
      <alignment horizontal="center" vertical="center" shrinkToFit="1"/>
    </xf>
    <xf numFmtId="0" fontId="0" fillId="5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12" fillId="6" borderId="0" xfId="0" applyNumberFormat="1" applyFont="1" applyFill="1" applyBorder="1" applyAlignment="1">
      <alignment horizontal="center" vertical="center" shrinkToFit="1"/>
    </xf>
    <xf numFmtId="0" fontId="0" fillId="6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Alignment="1">
      <alignment vertical="center" shrinkToFit="1"/>
    </xf>
    <xf numFmtId="0" fontId="2" fillId="0" borderId="0" xfId="1" applyNumberFormat="1" applyBorder="1" applyAlignment="1">
      <alignment horizontal="center" vertical="center" shrinkToFit="1"/>
    </xf>
    <xf numFmtId="0" fontId="13" fillId="0" borderId="0" xfId="1" applyNumberFormat="1" applyFont="1" applyBorder="1" applyAlignment="1">
      <alignment horizontal="center" vertical="center" shrinkToFit="1"/>
    </xf>
    <xf numFmtId="0" fontId="2" fillId="0" borderId="0" xfId="1" applyNumberFormat="1">
      <alignment vertical="center"/>
    </xf>
    <xf numFmtId="0" fontId="14" fillId="0" borderId="0" xfId="1" applyNumberFormat="1" applyFont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0" fontId="0" fillId="5" borderId="0" xfId="0" applyNumberFormat="1" applyFont="1" applyFill="1" applyAlignment="1">
      <alignment horizontal="center" vertical="center" shrinkToFit="1"/>
    </xf>
    <xf numFmtId="0" fontId="11" fillId="0" borderId="0" xfId="0" applyNumberFormat="1" applyFont="1" applyFill="1" applyAlignment="1">
      <alignment horizontal="center" vertical="center" wrapText="1"/>
    </xf>
    <xf numFmtId="0" fontId="0" fillId="0" borderId="0" xfId="0" applyNumberFormat="1" applyFill="1" applyBorder="1" applyAlignment="1">
      <alignment horizontal="center" vertical="center" wrapText="1" shrinkToFit="1"/>
    </xf>
    <xf numFmtId="0" fontId="15" fillId="0" borderId="0" xfId="0" applyNumberFormat="1" applyFont="1" applyFill="1" applyAlignment="1">
      <alignment horizontal="center" vertical="center" shrinkToFit="1"/>
    </xf>
    <xf numFmtId="0" fontId="0" fillId="0" borderId="0" xfId="0" quotePrefix="1" applyNumberFormat="1" applyFont="1" applyBorder="1" applyAlignment="1">
      <alignment horizontal="center" vertical="center" shrinkToFit="1"/>
    </xf>
    <xf numFmtId="0" fontId="11" fillId="0" borderId="0" xfId="0" applyNumberFormat="1" applyFont="1" applyAlignment="1" applyProtection="1">
      <alignment horizontal="center" vertical="center" wrapText="1"/>
    </xf>
    <xf numFmtId="0" fontId="11" fillId="0" borderId="0" xfId="0" applyNumberFormat="1" applyFont="1" applyAlignment="1" applyProtection="1">
      <alignment horizontal="center" vertical="center" wrapText="1" shrinkToFit="1"/>
    </xf>
    <xf numFmtId="0" fontId="11" fillId="0" borderId="0" xfId="0" applyNumberFormat="1" applyFont="1" applyBorder="1" applyAlignment="1" applyProtection="1">
      <alignment horizontal="center" vertical="center" wrapText="1" shrinkToFit="1"/>
    </xf>
    <xf numFmtId="0" fontId="22" fillId="5" borderId="0" xfId="0" applyNumberFormat="1" applyFont="1" applyFill="1" applyBorder="1" applyAlignment="1">
      <alignment horizontal="center" vertical="center" shrinkToFit="1"/>
    </xf>
    <xf numFmtId="0" fontId="22" fillId="3" borderId="0" xfId="0" applyNumberFormat="1" applyFont="1" applyFill="1" applyBorder="1" applyAlignment="1">
      <alignment horizontal="center" vertical="center" shrinkToFit="1"/>
    </xf>
    <xf numFmtId="0" fontId="25" fillId="0" borderId="0" xfId="0" applyNumberFormat="1" applyFont="1" applyFill="1" applyBorder="1" applyAlignment="1">
      <alignment horizontal="center" vertical="center" shrinkToFit="1"/>
    </xf>
    <xf numFmtId="0" fontId="25" fillId="0" borderId="0" xfId="0" applyNumberFormat="1" applyFont="1" applyFill="1" applyAlignment="1">
      <alignment horizontal="center" vertical="center" wrapText="1" shrinkToFit="1"/>
    </xf>
    <xf numFmtId="0" fontId="26" fillId="0" borderId="0" xfId="0" applyNumberFormat="1" applyFont="1" applyFill="1" applyAlignment="1">
      <alignment horizontal="center" vertical="center" shrinkToFit="1"/>
    </xf>
    <xf numFmtId="0" fontId="16" fillId="0" borderId="0" xfId="0" applyNumberFormat="1" applyFont="1" applyAlignment="1">
      <alignment horizontal="center" vertical="center" shrinkToFit="1"/>
    </xf>
    <xf numFmtId="0" fontId="16" fillId="3" borderId="0" xfId="0" applyNumberFormat="1" applyFont="1" applyFill="1" applyBorder="1" applyAlignment="1">
      <alignment horizontal="center" vertical="center" shrinkToFit="1"/>
    </xf>
    <xf numFmtId="0" fontId="27" fillId="0" borderId="0" xfId="0" applyNumberFormat="1" applyFont="1" applyAlignment="1" applyProtection="1">
      <alignment horizontal="center" vertical="center" wrapText="1" shrinkToFit="1"/>
    </xf>
  </cellXfs>
  <cellStyles count="5">
    <cellStyle name="gcd" xfId="2"/>
    <cellStyle name="常规" xfId="0" builtinId="0"/>
    <cellStyle name="常规 2" xfId="3"/>
    <cellStyle name="常规 3" xfId="4"/>
    <cellStyle name="超链接" xfId="1" builtinId="8"/>
  </cellStyles>
  <dxfs count="8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0</xdr:rowOff>
        </xdr:from>
        <xdr:to>
          <xdr:col>7</xdr:col>
          <xdr:colOff>1013460</xdr:colOff>
          <xdr:row>2</xdr:row>
          <xdr:rowOff>22860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0</xdr:row>
          <xdr:rowOff>0</xdr:rowOff>
        </xdr:from>
        <xdr:to>
          <xdr:col>6</xdr:col>
          <xdr:colOff>1318260</xdr:colOff>
          <xdr:row>2</xdr:row>
          <xdr:rowOff>22860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0</xdr:row>
          <xdr:rowOff>60960</xdr:rowOff>
        </xdr:from>
        <xdr:to>
          <xdr:col>9</xdr:col>
          <xdr:colOff>0</xdr:colOff>
          <xdr:row>0</xdr:row>
          <xdr:rowOff>350520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基于数据库的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Vlookup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2</xdr:row>
          <xdr:rowOff>137160</xdr:rowOff>
        </xdr:from>
        <xdr:to>
          <xdr:col>3</xdr:col>
          <xdr:colOff>7620</xdr:colOff>
          <xdr:row>5</xdr:row>
          <xdr:rowOff>30480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955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883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953" adjustColumnWidth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873" adjustColumnWidth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879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882" adjustColumnWidth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956" adjustColumnWidth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877" adjustColumnWidth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954" adjustColumnWidth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881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875" adjustColumnWidth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878" adjustColumnWidth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874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957" adjustColumnWidt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876" adjustColumnWidt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900" adjustColumnWidt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892" adjustColumnWidth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880" adjustColumnWidth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0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0.xml><?xml version="1.0" encoding="utf-8"?>
<queryTable xmlns="http://schemas.openxmlformats.org/spreadsheetml/2006/main" name="ExternalData_27" adjustColumnWidth="0" connectionId="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1.xml><?xml version="1.0" encoding="utf-8"?>
<queryTable xmlns="http://schemas.openxmlformats.org/spreadsheetml/2006/main" name="ExternalData_5" adjustColumnWidth="0" connectionId="13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22.xml><?xml version="1.0" encoding="utf-8"?>
<queryTable xmlns="http://schemas.openxmlformats.org/spreadsheetml/2006/main" name="ExternalData_30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3.xml><?xml version="1.0" encoding="utf-8"?>
<queryTable xmlns="http://schemas.openxmlformats.org/spreadsheetml/2006/main" name="ExternalData_22" adjustColumnWidth="0" connectionId="2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4.xml><?xml version="1.0" encoding="utf-8"?>
<queryTable xmlns="http://schemas.openxmlformats.org/spreadsheetml/2006/main" name="ExternalData_4" adjustColumnWidth="0" connectionId="10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25.xml><?xml version="1.0" encoding="utf-8"?>
<queryTable xmlns="http://schemas.openxmlformats.org/spreadsheetml/2006/main" name="ExternalData_24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6.xml><?xml version="1.0" encoding="utf-8"?>
<queryTable xmlns="http://schemas.openxmlformats.org/spreadsheetml/2006/main" name="ExternalData_29" adjustColumnWidth="0" connectionId="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7.xml><?xml version="1.0" encoding="utf-8"?>
<queryTable xmlns="http://schemas.openxmlformats.org/spreadsheetml/2006/main" name="ExternalData_12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8.xml><?xml version="1.0" encoding="utf-8"?>
<queryTable xmlns="http://schemas.openxmlformats.org/spreadsheetml/2006/main" name="ExternalData_8" adjustColumnWidth="0" connectionId="1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9.xml><?xml version="1.0" encoding="utf-8"?>
<queryTable xmlns="http://schemas.openxmlformats.org/spreadsheetml/2006/main" name="ExternalData_9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0.xml><?xml version="1.0" encoding="utf-8"?>
<queryTable xmlns="http://schemas.openxmlformats.org/spreadsheetml/2006/main" name="ExternalData_6" adjustColumnWidth="0" connectionId="14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31.xml><?xml version="1.0" encoding="utf-8"?>
<queryTable xmlns="http://schemas.openxmlformats.org/spreadsheetml/2006/main" name="ExternalData_31" adjustColumnWidth="0" connectionId="1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2.xml><?xml version="1.0" encoding="utf-8"?>
<queryTable xmlns="http://schemas.openxmlformats.org/spreadsheetml/2006/main" name="ExternalData_26" adjustColumnWidth="0" connectionId="4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33.xml><?xml version="1.0" encoding="utf-8"?>
<queryTable xmlns="http://schemas.openxmlformats.org/spreadsheetml/2006/main" name="ExternalData_1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34.xml><?xml version="1.0" encoding="utf-8"?>
<queryTable xmlns="http://schemas.openxmlformats.org/spreadsheetml/2006/main" name="ExternalData_11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5.xml><?xml version="1.0" encoding="utf-8"?>
<queryTable xmlns="http://schemas.openxmlformats.org/spreadsheetml/2006/main" name="ExternalData_23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6.xml><?xml version="1.0" encoding="utf-8"?>
<queryTable xmlns="http://schemas.openxmlformats.org/spreadsheetml/2006/main" name="ExternalData_28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7.xml><?xml version="1.0" encoding="utf-8"?>
<queryTable xmlns="http://schemas.openxmlformats.org/spreadsheetml/2006/main" name="ExternalData_7" adjustColumnWidth="0" connectionId="1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8.xml><?xml version="1.0" encoding="utf-8"?>
<queryTable xmlns="http://schemas.openxmlformats.org/spreadsheetml/2006/main" name="ExternalData_3" adjustColumnWidth="0" connectionId="7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39.xml><?xml version="1.0" encoding="utf-8"?>
<queryTable xmlns="http://schemas.openxmlformats.org/spreadsheetml/2006/main" name="ExternalData_2" adjustColumnWidth="0" connectionId="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0.xml><?xml version="1.0" encoding="utf-8"?>
<queryTable xmlns="http://schemas.openxmlformats.org/spreadsheetml/2006/main" name="ExternalData_32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1.xml><?xml version="1.0" encoding="utf-8"?>
<queryTable xmlns="http://schemas.openxmlformats.org/spreadsheetml/2006/main" name="ExternalData_13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.xml"/><Relationship Id="rId13" Type="http://schemas.openxmlformats.org/officeDocument/2006/relationships/queryTable" Target="../queryTables/queryTable7.xml"/><Relationship Id="rId18" Type="http://schemas.openxmlformats.org/officeDocument/2006/relationships/queryTable" Target="../queryTables/queryTable12.xml"/><Relationship Id="rId3" Type="http://schemas.openxmlformats.org/officeDocument/2006/relationships/drawing" Target="../drawings/drawing1.xml"/><Relationship Id="rId21" Type="http://schemas.openxmlformats.org/officeDocument/2006/relationships/queryTable" Target="../queryTables/queryTable15.xml"/><Relationship Id="rId7" Type="http://schemas.openxmlformats.org/officeDocument/2006/relationships/queryTable" Target="../queryTables/queryTable1.xml"/><Relationship Id="rId12" Type="http://schemas.openxmlformats.org/officeDocument/2006/relationships/queryTable" Target="../queryTables/queryTable6.xml"/><Relationship Id="rId17" Type="http://schemas.openxmlformats.org/officeDocument/2006/relationships/queryTable" Target="../queryTables/queryTable11.xml"/><Relationship Id="rId25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6" Type="http://schemas.openxmlformats.org/officeDocument/2006/relationships/queryTable" Target="../queryTables/queryTable10.xml"/><Relationship Id="rId20" Type="http://schemas.openxmlformats.org/officeDocument/2006/relationships/queryTable" Target="../queryTables/queryTable14.xml"/><Relationship Id="rId1" Type="http://schemas.openxmlformats.org/officeDocument/2006/relationships/hyperlink" Target="http://aa.r34.cc/" TargetMode="External"/><Relationship Id="rId6" Type="http://schemas.openxmlformats.org/officeDocument/2006/relationships/ctrlProp" Target="../ctrlProps/ctrlProp2.xml"/><Relationship Id="rId11" Type="http://schemas.openxmlformats.org/officeDocument/2006/relationships/queryTable" Target="../queryTables/queryTable5.xml"/><Relationship Id="rId24" Type="http://schemas.openxmlformats.org/officeDocument/2006/relationships/queryTable" Target="../queryTables/queryTable18.xml"/><Relationship Id="rId5" Type="http://schemas.openxmlformats.org/officeDocument/2006/relationships/ctrlProp" Target="../ctrlProps/ctrlProp1.xml"/><Relationship Id="rId15" Type="http://schemas.openxmlformats.org/officeDocument/2006/relationships/queryTable" Target="../queryTables/queryTable9.xml"/><Relationship Id="rId23" Type="http://schemas.openxmlformats.org/officeDocument/2006/relationships/queryTable" Target="../queryTables/queryTable17.xml"/><Relationship Id="rId10" Type="http://schemas.openxmlformats.org/officeDocument/2006/relationships/queryTable" Target="../queryTables/queryTable4.xml"/><Relationship Id="rId19" Type="http://schemas.openxmlformats.org/officeDocument/2006/relationships/queryTable" Target="../queryTables/queryTable13.xml"/><Relationship Id="rId4" Type="http://schemas.openxmlformats.org/officeDocument/2006/relationships/vmlDrawing" Target="../drawings/vmlDrawing1.vml"/><Relationship Id="rId9" Type="http://schemas.openxmlformats.org/officeDocument/2006/relationships/queryTable" Target="../queryTables/queryTable3.xml"/><Relationship Id="rId14" Type="http://schemas.openxmlformats.org/officeDocument/2006/relationships/queryTable" Target="../queryTables/queryTable8.xml"/><Relationship Id="rId22" Type="http://schemas.openxmlformats.org/officeDocument/2006/relationships/queryTable" Target="../queryTables/queryTable1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2.xml"/><Relationship Id="rId13" Type="http://schemas.openxmlformats.org/officeDocument/2006/relationships/queryTable" Target="../queryTables/queryTable27.xml"/><Relationship Id="rId18" Type="http://schemas.openxmlformats.org/officeDocument/2006/relationships/queryTable" Target="../queryTables/queryTable32.xml"/><Relationship Id="rId26" Type="http://schemas.openxmlformats.org/officeDocument/2006/relationships/queryTable" Target="../queryTables/queryTable40.xml"/><Relationship Id="rId3" Type="http://schemas.openxmlformats.org/officeDocument/2006/relationships/vmlDrawing" Target="../drawings/vmlDrawing3.vml"/><Relationship Id="rId21" Type="http://schemas.openxmlformats.org/officeDocument/2006/relationships/queryTable" Target="../queryTables/queryTable35.xml"/><Relationship Id="rId7" Type="http://schemas.openxmlformats.org/officeDocument/2006/relationships/queryTable" Target="../queryTables/queryTable21.xml"/><Relationship Id="rId12" Type="http://schemas.openxmlformats.org/officeDocument/2006/relationships/queryTable" Target="../queryTables/queryTable26.xml"/><Relationship Id="rId17" Type="http://schemas.openxmlformats.org/officeDocument/2006/relationships/queryTable" Target="../queryTables/queryTable31.xml"/><Relationship Id="rId25" Type="http://schemas.openxmlformats.org/officeDocument/2006/relationships/queryTable" Target="../queryTables/queryTable39.xml"/><Relationship Id="rId2" Type="http://schemas.openxmlformats.org/officeDocument/2006/relationships/drawing" Target="../drawings/drawing3.xml"/><Relationship Id="rId16" Type="http://schemas.openxmlformats.org/officeDocument/2006/relationships/queryTable" Target="../queryTables/queryTable30.xml"/><Relationship Id="rId20" Type="http://schemas.openxmlformats.org/officeDocument/2006/relationships/queryTable" Target="../queryTables/queryTable34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20.xml"/><Relationship Id="rId11" Type="http://schemas.openxmlformats.org/officeDocument/2006/relationships/queryTable" Target="../queryTables/queryTable25.xml"/><Relationship Id="rId24" Type="http://schemas.openxmlformats.org/officeDocument/2006/relationships/queryTable" Target="../queryTables/queryTable38.xml"/><Relationship Id="rId5" Type="http://schemas.openxmlformats.org/officeDocument/2006/relationships/queryTable" Target="../queryTables/queryTable19.xml"/><Relationship Id="rId15" Type="http://schemas.openxmlformats.org/officeDocument/2006/relationships/queryTable" Target="../queryTables/queryTable29.xml"/><Relationship Id="rId23" Type="http://schemas.openxmlformats.org/officeDocument/2006/relationships/queryTable" Target="../queryTables/queryTable37.xml"/><Relationship Id="rId10" Type="http://schemas.openxmlformats.org/officeDocument/2006/relationships/queryTable" Target="../queryTables/queryTable24.xml"/><Relationship Id="rId19" Type="http://schemas.openxmlformats.org/officeDocument/2006/relationships/queryTable" Target="../queryTables/queryTable33.xml"/><Relationship Id="rId4" Type="http://schemas.openxmlformats.org/officeDocument/2006/relationships/ctrlProp" Target="../ctrlProps/ctrlProp4.xml"/><Relationship Id="rId9" Type="http://schemas.openxmlformats.org/officeDocument/2006/relationships/queryTable" Target="../queryTables/queryTable23.xml"/><Relationship Id="rId14" Type="http://schemas.openxmlformats.org/officeDocument/2006/relationships/queryTable" Target="../queryTables/queryTable28.xml"/><Relationship Id="rId22" Type="http://schemas.openxmlformats.org/officeDocument/2006/relationships/queryTable" Target="../queryTables/queryTable36.xml"/><Relationship Id="rId27" Type="http://schemas.openxmlformats.org/officeDocument/2006/relationships/queryTable" Target="../queryTables/queryTable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1284"/>
  <sheetViews>
    <sheetView tabSelected="1" zoomScale="115" zoomScaleNormal="115" workbookViewId="0">
      <selection activeCell="H12" sqref="H12"/>
    </sheetView>
  </sheetViews>
  <sheetFormatPr defaultColWidth="9" defaultRowHeight="14.4"/>
  <cols>
    <col min="1" max="1" width="12.77734375" style="57" customWidth="1"/>
    <col min="2" max="2" width="12.109375" style="57" customWidth="1"/>
    <col min="3" max="3" width="14" style="57" customWidth="1"/>
    <col min="4" max="4" width="12.6640625" style="56" customWidth="1"/>
    <col min="5" max="5" width="13" style="57" customWidth="1"/>
    <col min="6" max="6" width="14.21875" style="57" customWidth="1"/>
    <col min="7" max="7" width="20.77734375" style="57" customWidth="1"/>
    <col min="8" max="8" width="15.33203125" style="57" customWidth="1"/>
    <col min="9" max="10" width="3.44140625" style="57" customWidth="1"/>
    <col min="11" max="11" width="2.44140625" style="57" customWidth="1"/>
    <col min="12" max="12" width="9.77734375" style="57" customWidth="1"/>
    <col min="13" max="13" width="14.109375" style="57" customWidth="1"/>
    <col min="14" max="14" width="6.44140625" style="57" customWidth="1"/>
    <col min="15" max="15" width="6.6640625" style="57" customWidth="1"/>
    <col min="16" max="16" width="11.77734375" style="57" customWidth="1"/>
    <col min="17" max="17" width="7.44140625" style="57" customWidth="1"/>
    <col min="18" max="18" width="8" style="57" customWidth="1"/>
    <col min="19" max="19" width="7.77734375" style="57" customWidth="1"/>
    <col min="20" max="20" width="6.33203125" style="57" customWidth="1"/>
    <col min="21" max="21" width="9" style="57"/>
    <col min="22" max="28" width="8.109375" style="57" customWidth="1"/>
    <col min="29" max="16384" width="9" style="57"/>
  </cols>
  <sheetData>
    <row r="1" spans="1:58" ht="12.75" customHeight="1">
      <c r="A1" s="58" t="s">
        <v>0</v>
      </c>
      <c r="B1" s="59" t="s">
        <v>1</v>
      </c>
      <c r="C1" s="87" t="s">
        <v>196</v>
      </c>
      <c r="D1" s="60"/>
      <c r="E1" s="61" t="s">
        <v>2</v>
      </c>
      <c r="F1" s="82" t="s">
        <v>193</v>
      </c>
      <c r="I1" s="58"/>
      <c r="J1" s="58"/>
      <c r="K1" s="58"/>
      <c r="P1" s="58"/>
      <c r="Q1" s="58"/>
    </row>
    <row r="2" spans="1:58">
      <c r="A2" s="57" t="s">
        <v>4</v>
      </c>
      <c r="B2" s="57" t="s">
        <v>1</v>
      </c>
      <c r="C2" s="62" t="s">
        <v>5</v>
      </c>
      <c r="D2" s="54"/>
      <c r="E2" s="61" t="s">
        <v>6</v>
      </c>
      <c r="F2" s="82" t="s">
        <v>194</v>
      </c>
      <c r="G2" s="59"/>
      <c r="H2" s="58"/>
      <c r="I2" s="58"/>
      <c r="J2" s="58"/>
      <c r="K2" s="58"/>
      <c r="N2" s="58"/>
      <c r="O2" s="58"/>
      <c r="P2" s="58"/>
      <c r="Q2" s="58"/>
    </row>
    <row r="3" spans="1:58" ht="27" customHeight="1">
      <c r="A3" s="59"/>
      <c r="B3" s="59"/>
      <c r="C3" s="63"/>
      <c r="D3" s="64"/>
      <c r="G3" s="58"/>
      <c r="H3" s="58"/>
      <c r="I3" s="61" t="s">
        <v>8</v>
      </c>
      <c r="J3" s="59" t="s">
        <v>9</v>
      </c>
      <c r="K3" s="58"/>
      <c r="L3" s="61" t="s">
        <v>10</v>
      </c>
      <c r="M3" s="59" t="s">
        <v>11</v>
      </c>
      <c r="N3" s="61" t="s">
        <v>7</v>
      </c>
      <c r="O3" s="69" t="str">
        <f>HYPERLINK(J4&amp;"/index.php/Qwadmin/Udno/addedit.html?sheetname="&amp;C1,J4&amp;"/index.php/Qwadmin/Udno/addedit.html?sheetname="&amp;C1)</f>
        <v>http://aa.r34.cc/index.php/Qwadmin/Udno/addedit.html?sheetname=科研项目进展汇报</v>
      </c>
      <c r="P3" s="58"/>
      <c r="Q3" s="58"/>
    </row>
    <row r="4" spans="1:58">
      <c r="A4" s="58"/>
      <c r="B4" s="59"/>
      <c r="C4" s="63"/>
      <c r="D4" s="64"/>
      <c r="E4" s="61"/>
      <c r="F4" s="59"/>
      <c r="G4" s="59"/>
      <c r="H4" s="58"/>
      <c r="I4" s="61" t="s">
        <v>12</v>
      </c>
      <c r="J4" s="70" t="s">
        <v>198</v>
      </c>
      <c r="K4" s="58"/>
      <c r="L4" s="61" t="s">
        <v>13</v>
      </c>
      <c r="M4" s="59" t="s">
        <v>14</v>
      </c>
      <c r="N4" s="61" t="s">
        <v>3</v>
      </c>
      <c r="O4" s="68" t="str">
        <f>HYPERLINK(CONCATENATE(J4,"/index.php/Qwadmin/Rwxy/echoteacherdb?conall=;数据表名等于",C1,";不显字段等于id,wrpw,data1,data2,ord,rpw,name,pid,custom1,custom2,sheetname;查看密码等于",F1),CONCATENATE(J4,"/index.php/Qwadmin/Rwxy/echoteacherdb?conall=;数据表名等于",C1,";不显字段等于id,wrpw,data1,data2,ord,rpw,name,pid,custom1,custom2,sheetname;查看密码等于",F1))</f>
        <v>http://aa.r34.cc/index.php/Qwadmin/Rwxy/echoteacherdb?conall=;数据表名等于科研项目进展汇报;不显字段等于id,wrpw,data1,data2,ord,rpw,name,pid,custom1,custom2,sheetname;查看密码等于fdkslfsfds</v>
      </c>
      <c r="P4" s="58"/>
      <c r="Q4" s="58"/>
    </row>
    <row r="5" spans="1:58">
      <c r="A5" s="58"/>
      <c r="B5" s="59"/>
      <c r="C5" s="59"/>
      <c r="D5" s="64"/>
      <c r="E5" s="61" t="s">
        <v>15</v>
      </c>
      <c r="F5" s="65" t="s">
        <v>16</v>
      </c>
      <c r="G5" s="59"/>
      <c r="H5" s="58"/>
      <c r="I5" s="61" t="s">
        <v>17</v>
      </c>
      <c r="J5" s="62" t="s">
        <v>18</v>
      </c>
      <c r="K5" s="58"/>
      <c r="L5" s="61" t="s">
        <v>19</v>
      </c>
      <c r="M5" s="59" t="s">
        <v>20</v>
      </c>
      <c r="N5" s="61" t="s">
        <v>24</v>
      </c>
      <c r="O5" s="71" t="str">
        <f>HYPERLINK(J4&amp;"/index.php/Qwadmin/Rwxy/uniquerydata/rpw/"&amp;F1&amp;".html",J4&amp;"/index.php/Qwadmin/Rwxy/uniquerydata/rpw/"&amp;F1&amp;".html")</f>
        <v>http://aa.r34.cc/index.php/Qwadmin/Rwxy/uniquerydata/rpw/fdkslfsfds.html</v>
      </c>
      <c r="P5" s="58"/>
      <c r="Q5" s="58"/>
    </row>
    <row r="6" spans="1:58">
      <c r="A6" s="58"/>
      <c r="B6" s="59"/>
      <c r="C6" s="59"/>
      <c r="D6" s="54"/>
      <c r="E6" s="61" t="s">
        <v>21</v>
      </c>
      <c r="F6" s="66" t="s">
        <v>22</v>
      </c>
      <c r="G6" s="59"/>
      <c r="H6" s="58"/>
      <c r="I6" s="61" t="s">
        <v>23</v>
      </c>
      <c r="J6" s="62"/>
      <c r="K6" s="59"/>
      <c r="L6" s="61" t="s">
        <v>27</v>
      </c>
      <c r="M6" s="81" t="s">
        <v>172</v>
      </c>
      <c r="P6" s="58"/>
      <c r="Q6" s="58"/>
    </row>
    <row r="7" spans="1:58">
      <c r="A7" s="58"/>
      <c r="B7" s="59"/>
      <c r="C7" s="59"/>
      <c r="D7" s="54"/>
      <c r="E7" s="61"/>
      <c r="F7" s="67"/>
      <c r="G7" s="58"/>
      <c r="H7" s="58"/>
      <c r="I7" s="72" t="s">
        <v>25</v>
      </c>
      <c r="J7" s="73" t="s">
        <v>26</v>
      </c>
      <c r="K7" s="58"/>
      <c r="L7" s="61" t="s">
        <v>195</v>
      </c>
      <c r="M7" s="86" t="s">
        <v>197</v>
      </c>
      <c r="P7" s="58"/>
      <c r="Q7" s="58"/>
    </row>
    <row r="8" spans="1:58" ht="18.75" customHeight="1">
      <c r="A8" s="58" t="s">
        <v>28</v>
      </c>
      <c r="B8" s="59" t="s">
        <v>1</v>
      </c>
      <c r="C8" s="77" t="s">
        <v>29</v>
      </c>
      <c r="D8" s="64"/>
      <c r="E8" s="61"/>
      <c r="F8" s="67"/>
      <c r="G8" s="58"/>
      <c r="H8" s="58"/>
      <c r="K8" s="58"/>
      <c r="N8" s="58"/>
      <c r="O8" s="58"/>
      <c r="P8" s="58"/>
      <c r="Q8" s="58"/>
    </row>
    <row r="9" spans="1:58" s="54" customFormat="1">
      <c r="A9" s="78" t="s">
        <v>30</v>
      </c>
      <c r="B9" s="78" t="s">
        <v>16</v>
      </c>
      <c r="C9" s="78" t="s">
        <v>22</v>
      </c>
      <c r="D9" s="78" t="s">
        <v>31</v>
      </c>
      <c r="E9" s="78" t="s">
        <v>18</v>
      </c>
      <c r="F9" s="79" t="s">
        <v>32</v>
      </c>
      <c r="G9" s="78" t="s">
        <v>33</v>
      </c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83"/>
    </row>
    <row r="10" spans="1:58" s="55" customFormat="1" ht="9.6" customHeight="1"/>
    <row r="11" spans="1:58" s="54" customFormat="1">
      <c r="A11" s="80" t="s">
        <v>173</v>
      </c>
      <c r="B11" s="80" t="s">
        <v>174</v>
      </c>
      <c r="C11" s="80" t="s">
        <v>175</v>
      </c>
      <c r="D11" s="80" t="s">
        <v>176</v>
      </c>
      <c r="E11" s="80" t="s">
        <v>177</v>
      </c>
      <c r="F11" s="80" t="s">
        <v>178</v>
      </c>
      <c r="G11" s="80" t="s">
        <v>179</v>
      </c>
      <c r="H11" s="84"/>
      <c r="I11" s="84"/>
      <c r="J11" s="84"/>
      <c r="K11" s="84"/>
      <c r="L11" s="84"/>
      <c r="M11" s="84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</row>
    <row r="12" spans="1:58" s="56" customFormat="1" ht="41.4">
      <c r="A12" s="79" t="s">
        <v>180</v>
      </c>
      <c r="B12" s="79" t="s">
        <v>181</v>
      </c>
      <c r="C12" s="79" t="s">
        <v>182</v>
      </c>
      <c r="D12" s="79"/>
      <c r="E12" s="79" t="s">
        <v>183</v>
      </c>
      <c r="F12" s="79" t="s">
        <v>184</v>
      </c>
      <c r="G12" s="79" t="s">
        <v>185</v>
      </c>
      <c r="H12" s="85"/>
    </row>
    <row r="13" spans="1:58" s="56" customFormat="1" ht="41.4">
      <c r="A13" s="79" t="s">
        <v>186</v>
      </c>
      <c r="B13" s="79" t="s">
        <v>187</v>
      </c>
      <c r="C13" s="79" t="s">
        <v>182</v>
      </c>
      <c r="D13" s="88" t="s">
        <v>199</v>
      </c>
      <c r="E13" s="79" t="s">
        <v>183</v>
      </c>
      <c r="F13" s="79" t="s">
        <v>184</v>
      </c>
      <c r="G13" s="79" t="s">
        <v>185</v>
      </c>
      <c r="H13" s="85"/>
    </row>
    <row r="14" spans="1:58" s="56" customFormat="1" ht="41.4">
      <c r="A14" s="79" t="s">
        <v>188</v>
      </c>
      <c r="B14" s="79" t="s">
        <v>189</v>
      </c>
      <c r="C14" s="79" t="s">
        <v>182</v>
      </c>
      <c r="D14" s="79"/>
      <c r="E14" s="79" t="s">
        <v>183</v>
      </c>
      <c r="F14" s="79" t="s">
        <v>184</v>
      </c>
      <c r="G14" s="79" t="s">
        <v>185</v>
      </c>
      <c r="H14" s="85"/>
    </row>
    <row r="15" spans="1:58" s="56" customFormat="1" ht="41.4">
      <c r="A15" s="79" t="s">
        <v>190</v>
      </c>
      <c r="B15" s="79" t="s">
        <v>191</v>
      </c>
      <c r="C15" s="79" t="s">
        <v>192</v>
      </c>
      <c r="D15" s="79"/>
      <c r="E15" s="79" t="s">
        <v>183</v>
      </c>
      <c r="F15" s="79" t="s">
        <v>184</v>
      </c>
      <c r="G15" s="79" t="s">
        <v>185</v>
      </c>
      <c r="H15" s="85"/>
    </row>
    <row r="16" spans="1:58" ht="32.4">
      <c r="I16" s="76"/>
    </row>
    <row r="17" spans="9:9" ht="32.4">
      <c r="I17" s="76"/>
    </row>
    <row r="18" spans="9:9" ht="32.4">
      <c r="I18" s="76"/>
    </row>
    <row r="19" spans="9:9" ht="32.4">
      <c r="I19" s="76"/>
    </row>
    <row r="20" spans="9:9" ht="32.4">
      <c r="I20" s="76"/>
    </row>
    <row r="21" spans="9:9" ht="32.4">
      <c r="I21" s="76"/>
    </row>
    <row r="22" spans="9:9" ht="32.4">
      <c r="I22" s="76"/>
    </row>
    <row r="23" spans="9:9" ht="32.4">
      <c r="I23" s="76"/>
    </row>
    <row r="24" spans="9:9" ht="32.4">
      <c r="I24" s="76"/>
    </row>
    <row r="25" spans="9:9" ht="32.4">
      <c r="I25" s="76"/>
    </row>
    <row r="26" spans="9:9" ht="32.4">
      <c r="I26" s="76"/>
    </row>
    <row r="27" spans="9:9" ht="32.4">
      <c r="I27" s="76"/>
    </row>
    <row r="28" spans="9:9" ht="32.4">
      <c r="I28" s="76"/>
    </row>
    <row r="29" spans="9:9" ht="32.4">
      <c r="I29" s="76"/>
    </row>
    <row r="30" spans="9:9" ht="32.4">
      <c r="I30" s="76"/>
    </row>
    <row r="31" spans="9:9" ht="32.4">
      <c r="I31" s="76"/>
    </row>
    <row r="32" spans="9:9" ht="32.4">
      <c r="I32" s="76"/>
    </row>
    <row r="33" spans="9:9" ht="32.4">
      <c r="I33" s="76"/>
    </row>
    <row r="34" spans="9:9" ht="32.4">
      <c r="I34" s="76"/>
    </row>
    <row r="35" spans="9:9" ht="32.4">
      <c r="I35" s="76"/>
    </row>
    <row r="36" spans="9:9" ht="32.4">
      <c r="I36" s="76"/>
    </row>
    <row r="37" spans="9:9" ht="32.4">
      <c r="I37" s="76"/>
    </row>
    <row r="38" spans="9:9" ht="32.4">
      <c r="I38" s="76"/>
    </row>
    <row r="39" spans="9:9" ht="32.4">
      <c r="I39" s="76"/>
    </row>
    <row r="40" spans="9:9" ht="32.4">
      <c r="I40" s="76"/>
    </row>
    <row r="41" spans="9:9" ht="32.4">
      <c r="I41" s="76"/>
    </row>
    <row r="42" spans="9:9" ht="32.4">
      <c r="I42" s="76"/>
    </row>
    <row r="43" spans="9:9" ht="32.4">
      <c r="I43" s="76"/>
    </row>
    <row r="44" spans="9:9" ht="32.4">
      <c r="I44" s="76"/>
    </row>
    <row r="45" spans="9:9" ht="32.4">
      <c r="I45" s="76"/>
    </row>
    <row r="46" spans="9:9" ht="32.4">
      <c r="I46" s="76"/>
    </row>
    <row r="47" spans="9:9" ht="32.4">
      <c r="I47" s="76"/>
    </row>
    <row r="48" spans="9:9" ht="32.4">
      <c r="I48" s="76"/>
    </row>
    <row r="49" spans="9:9" ht="32.4">
      <c r="I49" s="76"/>
    </row>
    <row r="50" spans="9:9" ht="32.4">
      <c r="I50" s="76"/>
    </row>
    <row r="51" spans="9:9" ht="32.4">
      <c r="I51" s="76"/>
    </row>
    <row r="52" spans="9:9" ht="32.4">
      <c r="I52" s="76"/>
    </row>
    <row r="53" spans="9:9" ht="32.4">
      <c r="I53" s="76"/>
    </row>
    <row r="54" spans="9:9" ht="32.4">
      <c r="I54" s="76"/>
    </row>
    <row r="55" spans="9:9" ht="32.4">
      <c r="I55" s="76"/>
    </row>
    <row r="56" spans="9:9" ht="32.4">
      <c r="I56" s="76"/>
    </row>
    <row r="57" spans="9:9" ht="32.4">
      <c r="I57" s="76"/>
    </row>
    <row r="58" spans="9:9" ht="32.4">
      <c r="I58" s="76"/>
    </row>
    <row r="59" spans="9:9" ht="32.4">
      <c r="I59" s="76"/>
    </row>
    <row r="60" spans="9:9" ht="32.4">
      <c r="I60" s="76"/>
    </row>
    <row r="61" spans="9:9" ht="32.4">
      <c r="I61" s="76"/>
    </row>
    <row r="62" spans="9:9" ht="32.4">
      <c r="I62" s="76"/>
    </row>
    <row r="63" spans="9:9" ht="32.4">
      <c r="I63" s="76"/>
    </row>
    <row r="64" spans="9:9" ht="32.4">
      <c r="I64" s="76"/>
    </row>
    <row r="65" spans="9:9" ht="32.4">
      <c r="I65" s="76"/>
    </row>
    <row r="66" spans="9:9" ht="32.4">
      <c r="I66" s="76"/>
    </row>
    <row r="67" spans="9:9" ht="32.4">
      <c r="I67" s="76"/>
    </row>
    <row r="68" spans="9:9" ht="32.4">
      <c r="I68" s="76"/>
    </row>
    <row r="69" spans="9:9" ht="32.4">
      <c r="I69" s="76"/>
    </row>
    <row r="70" spans="9:9" ht="32.4">
      <c r="I70" s="76"/>
    </row>
    <row r="71" spans="9:9" ht="32.4">
      <c r="I71" s="76"/>
    </row>
    <row r="72" spans="9:9" ht="32.4">
      <c r="I72" s="76"/>
    </row>
    <row r="73" spans="9:9" ht="32.4">
      <c r="I73" s="76"/>
    </row>
    <row r="74" spans="9:9" ht="32.4">
      <c r="I74" s="76"/>
    </row>
    <row r="75" spans="9:9" ht="32.4">
      <c r="I75" s="76"/>
    </row>
    <row r="76" spans="9:9" ht="32.4">
      <c r="I76" s="76"/>
    </row>
    <row r="77" spans="9:9" ht="32.4">
      <c r="I77" s="76"/>
    </row>
    <row r="78" spans="9:9" ht="32.4">
      <c r="I78" s="76"/>
    </row>
    <row r="79" spans="9:9" ht="32.4">
      <c r="I79" s="76"/>
    </row>
    <row r="80" spans="9:9" ht="32.4">
      <c r="I80" s="76"/>
    </row>
    <row r="81" spans="9:9" ht="32.4">
      <c r="I81" s="76"/>
    </row>
    <row r="82" spans="9:9" ht="32.4">
      <c r="I82" s="76"/>
    </row>
    <row r="83" spans="9:9" ht="32.4">
      <c r="I83" s="76"/>
    </row>
    <row r="84" spans="9:9" ht="32.4">
      <c r="I84" s="76"/>
    </row>
    <row r="85" spans="9:9" ht="32.4">
      <c r="I85" s="76"/>
    </row>
    <row r="86" spans="9:9" ht="32.4">
      <c r="I86" s="76"/>
    </row>
    <row r="87" spans="9:9" ht="32.4">
      <c r="I87" s="76"/>
    </row>
    <row r="88" spans="9:9" ht="32.4">
      <c r="I88" s="76"/>
    </row>
    <row r="89" spans="9:9" ht="32.4">
      <c r="I89" s="76"/>
    </row>
    <row r="90" spans="9:9" ht="32.4">
      <c r="I90" s="76"/>
    </row>
    <row r="91" spans="9:9" ht="32.4">
      <c r="I91" s="76"/>
    </row>
    <row r="92" spans="9:9" ht="32.4">
      <c r="I92" s="76"/>
    </row>
    <row r="93" spans="9:9" ht="32.4">
      <c r="I93" s="76"/>
    </row>
    <row r="94" spans="9:9" ht="32.4">
      <c r="I94" s="76"/>
    </row>
    <row r="95" spans="9:9" ht="32.4">
      <c r="I95" s="76"/>
    </row>
    <row r="96" spans="9:9" ht="32.4">
      <c r="I96" s="76"/>
    </row>
    <row r="97" spans="9:9" ht="32.4">
      <c r="I97" s="76"/>
    </row>
    <row r="98" spans="9:9" ht="32.4">
      <c r="I98" s="76"/>
    </row>
    <row r="99" spans="9:9" ht="32.4">
      <c r="I99" s="76"/>
    </row>
    <row r="100" spans="9:9" ht="32.4">
      <c r="I100" s="76"/>
    </row>
    <row r="101" spans="9:9" ht="32.4">
      <c r="I101" s="76"/>
    </row>
    <row r="102" spans="9:9" ht="32.4">
      <c r="I102" s="76"/>
    </row>
    <row r="103" spans="9:9" ht="32.4">
      <c r="I103" s="76"/>
    </row>
    <row r="104" spans="9:9" ht="32.4">
      <c r="I104" s="76"/>
    </row>
    <row r="105" spans="9:9" ht="32.4">
      <c r="I105" s="76"/>
    </row>
    <row r="106" spans="9:9" ht="32.4">
      <c r="I106" s="76"/>
    </row>
    <row r="107" spans="9:9" ht="32.4">
      <c r="I107" s="76"/>
    </row>
    <row r="108" spans="9:9" ht="32.4">
      <c r="I108" s="76"/>
    </row>
    <row r="109" spans="9:9" ht="32.4">
      <c r="I109" s="76"/>
    </row>
    <row r="110" spans="9:9" ht="32.4">
      <c r="I110" s="76"/>
    </row>
    <row r="111" spans="9:9" ht="32.4">
      <c r="I111" s="76"/>
    </row>
    <row r="112" spans="9:9" ht="32.4">
      <c r="I112" s="76"/>
    </row>
    <row r="113" spans="9:9" ht="32.4">
      <c r="I113" s="76"/>
    </row>
    <row r="114" spans="9:9" ht="32.4">
      <c r="I114" s="76"/>
    </row>
    <row r="115" spans="9:9" ht="32.4">
      <c r="I115" s="76"/>
    </row>
    <row r="116" spans="9:9" ht="32.4">
      <c r="I116" s="76"/>
    </row>
    <row r="117" spans="9:9" ht="32.4">
      <c r="I117" s="76"/>
    </row>
    <row r="118" spans="9:9" ht="32.4">
      <c r="I118" s="76"/>
    </row>
    <row r="119" spans="9:9" ht="32.4">
      <c r="I119" s="76"/>
    </row>
    <row r="120" spans="9:9" ht="32.4">
      <c r="I120" s="76"/>
    </row>
    <row r="121" spans="9:9" ht="32.4">
      <c r="I121" s="76"/>
    </row>
    <row r="122" spans="9:9" ht="32.4">
      <c r="I122" s="76"/>
    </row>
    <row r="123" spans="9:9" ht="32.4">
      <c r="I123" s="76"/>
    </row>
    <row r="124" spans="9:9" ht="32.4">
      <c r="I124" s="76"/>
    </row>
    <row r="125" spans="9:9" ht="32.4">
      <c r="I125" s="76"/>
    </row>
    <row r="126" spans="9:9" ht="32.4">
      <c r="I126" s="76"/>
    </row>
    <row r="127" spans="9:9" ht="32.4">
      <c r="I127" s="76"/>
    </row>
    <row r="128" spans="9:9" ht="32.4">
      <c r="I128" s="76"/>
    </row>
    <row r="129" spans="9:9" ht="32.4">
      <c r="I129" s="76"/>
    </row>
    <row r="130" spans="9:9" ht="32.4">
      <c r="I130" s="76"/>
    </row>
    <row r="131" spans="9:9" ht="32.4">
      <c r="I131" s="76"/>
    </row>
    <row r="132" spans="9:9" ht="32.4">
      <c r="I132" s="76"/>
    </row>
    <row r="133" spans="9:9" ht="32.4">
      <c r="I133" s="76"/>
    </row>
    <row r="134" spans="9:9" ht="32.4">
      <c r="I134" s="76"/>
    </row>
    <row r="135" spans="9:9" ht="32.4">
      <c r="I135" s="76"/>
    </row>
    <row r="136" spans="9:9" ht="32.4">
      <c r="I136" s="76"/>
    </row>
    <row r="137" spans="9:9" ht="32.4">
      <c r="I137" s="76"/>
    </row>
    <row r="138" spans="9:9" ht="32.4">
      <c r="I138" s="76"/>
    </row>
    <row r="139" spans="9:9" ht="32.4">
      <c r="I139" s="76"/>
    </row>
    <row r="140" spans="9:9" ht="32.4">
      <c r="I140" s="76"/>
    </row>
    <row r="141" spans="9:9" ht="32.4">
      <c r="I141" s="76"/>
    </row>
    <row r="142" spans="9:9" ht="32.4">
      <c r="I142" s="76"/>
    </row>
    <row r="143" spans="9:9" ht="32.4">
      <c r="I143" s="76"/>
    </row>
    <row r="144" spans="9:9" ht="32.4">
      <c r="I144" s="76"/>
    </row>
    <row r="145" spans="9:9" ht="32.4">
      <c r="I145" s="76"/>
    </row>
    <row r="146" spans="9:9" ht="32.4">
      <c r="I146" s="76"/>
    </row>
    <row r="147" spans="9:9" ht="32.4">
      <c r="I147" s="76"/>
    </row>
    <row r="148" spans="9:9" ht="32.4">
      <c r="I148" s="76"/>
    </row>
    <row r="149" spans="9:9" ht="32.4">
      <c r="I149" s="76"/>
    </row>
    <row r="150" spans="9:9" ht="32.4">
      <c r="I150" s="76"/>
    </row>
    <row r="151" spans="9:9" ht="32.4">
      <c r="I151" s="76"/>
    </row>
    <row r="152" spans="9:9" ht="32.4">
      <c r="I152" s="76"/>
    </row>
    <row r="153" spans="9:9" ht="32.4">
      <c r="I153" s="76"/>
    </row>
    <row r="154" spans="9:9" ht="32.4">
      <c r="I154" s="76"/>
    </row>
    <row r="155" spans="9:9" ht="32.4">
      <c r="I155" s="76"/>
    </row>
    <row r="156" spans="9:9" ht="32.4">
      <c r="I156" s="76"/>
    </row>
    <row r="157" spans="9:9" ht="32.4">
      <c r="I157" s="76"/>
    </row>
    <row r="158" spans="9:9" ht="32.4">
      <c r="I158" s="76"/>
    </row>
    <row r="159" spans="9:9" ht="32.4">
      <c r="I159" s="76"/>
    </row>
    <row r="160" spans="9:9" ht="32.4">
      <c r="I160" s="76"/>
    </row>
    <row r="161" spans="9:9" ht="32.4">
      <c r="I161" s="76"/>
    </row>
    <row r="162" spans="9:9" ht="32.4">
      <c r="I162" s="76"/>
    </row>
    <row r="163" spans="9:9" ht="32.4">
      <c r="I163" s="76"/>
    </row>
    <row r="164" spans="9:9" ht="32.4">
      <c r="I164" s="76"/>
    </row>
    <row r="165" spans="9:9" ht="32.4">
      <c r="I165" s="76"/>
    </row>
    <row r="166" spans="9:9" ht="32.4">
      <c r="I166" s="76"/>
    </row>
    <row r="167" spans="9:9" ht="32.4">
      <c r="I167" s="76"/>
    </row>
    <row r="168" spans="9:9" ht="32.4">
      <c r="I168" s="76"/>
    </row>
    <row r="169" spans="9:9" ht="32.4">
      <c r="I169" s="76"/>
    </row>
    <row r="170" spans="9:9" ht="32.4">
      <c r="I170" s="76"/>
    </row>
    <row r="171" spans="9:9" ht="32.4">
      <c r="I171" s="76"/>
    </row>
    <row r="172" spans="9:9" ht="32.4">
      <c r="I172" s="76"/>
    </row>
    <row r="173" spans="9:9" ht="32.4">
      <c r="I173" s="76"/>
    </row>
    <row r="174" spans="9:9" ht="32.4">
      <c r="I174" s="76"/>
    </row>
    <row r="175" spans="9:9" ht="32.4">
      <c r="I175" s="76"/>
    </row>
    <row r="176" spans="9:9" ht="32.4">
      <c r="I176" s="76"/>
    </row>
    <row r="177" spans="9:9" ht="32.4">
      <c r="I177" s="76"/>
    </row>
    <row r="178" spans="9:9" ht="32.4">
      <c r="I178" s="76"/>
    </row>
    <row r="179" spans="9:9" ht="32.4">
      <c r="I179" s="76"/>
    </row>
    <row r="180" spans="9:9" ht="32.4">
      <c r="I180" s="76"/>
    </row>
    <row r="181" spans="9:9" ht="32.4">
      <c r="I181" s="76"/>
    </row>
    <row r="182" spans="9:9" ht="32.4">
      <c r="I182" s="76"/>
    </row>
    <row r="183" spans="9:9" ht="32.4">
      <c r="I183" s="76"/>
    </row>
    <row r="184" spans="9:9" ht="32.4">
      <c r="I184" s="76"/>
    </row>
    <row r="185" spans="9:9" ht="32.4">
      <c r="I185" s="76"/>
    </row>
    <row r="186" spans="9:9" ht="32.4">
      <c r="I186" s="76"/>
    </row>
    <row r="187" spans="9:9" ht="32.4">
      <c r="I187" s="76"/>
    </row>
    <row r="188" spans="9:9" ht="32.4">
      <c r="I188" s="76"/>
    </row>
    <row r="189" spans="9:9" ht="32.4">
      <c r="I189" s="76"/>
    </row>
    <row r="190" spans="9:9" ht="32.4">
      <c r="I190" s="76"/>
    </row>
    <row r="191" spans="9:9" ht="32.4">
      <c r="I191" s="76"/>
    </row>
    <row r="192" spans="9:9" ht="32.4">
      <c r="I192" s="76"/>
    </row>
    <row r="193" spans="9:9" ht="32.4">
      <c r="I193" s="76"/>
    </row>
    <row r="194" spans="9:9" ht="32.4">
      <c r="I194" s="76"/>
    </row>
    <row r="195" spans="9:9" ht="32.4">
      <c r="I195" s="76"/>
    </row>
    <row r="196" spans="9:9" ht="32.4">
      <c r="I196" s="76"/>
    </row>
    <row r="197" spans="9:9" ht="32.4">
      <c r="I197" s="76"/>
    </row>
    <row r="198" spans="9:9" ht="32.4">
      <c r="I198" s="76"/>
    </row>
    <row r="199" spans="9:9" ht="32.4">
      <c r="I199" s="76"/>
    </row>
    <row r="200" spans="9:9" ht="32.4">
      <c r="I200" s="76"/>
    </row>
    <row r="201" spans="9:9" ht="32.4">
      <c r="I201" s="76"/>
    </row>
    <row r="202" spans="9:9" ht="32.4">
      <c r="I202" s="76"/>
    </row>
    <row r="203" spans="9:9" ht="32.4">
      <c r="I203" s="76"/>
    </row>
    <row r="204" spans="9:9" ht="32.4">
      <c r="I204" s="76"/>
    </row>
    <row r="205" spans="9:9" ht="32.4">
      <c r="I205" s="76"/>
    </row>
    <row r="206" spans="9:9" ht="32.4">
      <c r="I206" s="76"/>
    </row>
    <row r="207" spans="9:9" ht="32.4">
      <c r="I207" s="76"/>
    </row>
    <row r="208" spans="9:9" ht="32.4">
      <c r="I208" s="76"/>
    </row>
    <row r="209" spans="9:9" ht="32.4">
      <c r="I209" s="76"/>
    </row>
    <row r="210" spans="9:9" ht="32.4">
      <c r="I210" s="76"/>
    </row>
    <row r="211" spans="9:9" ht="32.4">
      <c r="I211" s="76"/>
    </row>
    <row r="212" spans="9:9" ht="32.4">
      <c r="I212" s="76"/>
    </row>
    <row r="213" spans="9:9" ht="32.4">
      <c r="I213" s="76"/>
    </row>
    <row r="214" spans="9:9" ht="32.4">
      <c r="I214" s="76"/>
    </row>
    <row r="215" spans="9:9" ht="32.4">
      <c r="I215" s="76"/>
    </row>
    <row r="216" spans="9:9" ht="32.4">
      <c r="I216" s="76"/>
    </row>
    <row r="217" spans="9:9" ht="32.4">
      <c r="I217" s="76"/>
    </row>
    <row r="218" spans="9:9" ht="32.4">
      <c r="I218" s="76"/>
    </row>
    <row r="219" spans="9:9" ht="32.4">
      <c r="I219" s="76"/>
    </row>
    <row r="220" spans="9:9" ht="32.4">
      <c r="I220" s="76"/>
    </row>
    <row r="221" spans="9:9" ht="32.4">
      <c r="I221" s="76"/>
    </row>
    <row r="222" spans="9:9" ht="32.4">
      <c r="I222" s="76"/>
    </row>
    <row r="223" spans="9:9" ht="32.4">
      <c r="I223" s="76"/>
    </row>
    <row r="224" spans="9:9" ht="32.4">
      <c r="I224" s="76"/>
    </row>
    <row r="225" spans="9:9" ht="32.4">
      <c r="I225" s="76"/>
    </row>
    <row r="226" spans="9:9" ht="32.4">
      <c r="I226" s="76"/>
    </row>
    <row r="227" spans="9:9" ht="32.4">
      <c r="I227" s="76"/>
    </row>
    <row r="228" spans="9:9" ht="32.4">
      <c r="I228" s="76"/>
    </row>
    <row r="229" spans="9:9" ht="32.4">
      <c r="I229" s="76"/>
    </row>
    <row r="230" spans="9:9" ht="32.4">
      <c r="I230" s="76"/>
    </row>
    <row r="231" spans="9:9" ht="32.4">
      <c r="I231" s="76"/>
    </row>
    <row r="232" spans="9:9" ht="32.4">
      <c r="I232" s="76"/>
    </row>
    <row r="233" spans="9:9" ht="32.4">
      <c r="I233" s="76"/>
    </row>
    <row r="234" spans="9:9" ht="32.4">
      <c r="I234" s="76"/>
    </row>
    <row r="235" spans="9:9" ht="32.4">
      <c r="I235" s="76"/>
    </row>
    <row r="236" spans="9:9" ht="32.4">
      <c r="I236" s="76"/>
    </row>
    <row r="237" spans="9:9" ht="32.4">
      <c r="I237" s="76"/>
    </row>
    <row r="238" spans="9:9" ht="32.4">
      <c r="I238" s="76"/>
    </row>
    <row r="239" spans="9:9" ht="32.4">
      <c r="I239" s="76"/>
    </row>
    <row r="240" spans="9:9" ht="32.4">
      <c r="I240" s="76"/>
    </row>
    <row r="241" spans="9:9" ht="32.4">
      <c r="I241" s="76"/>
    </row>
    <row r="242" spans="9:9" ht="32.4">
      <c r="I242" s="76"/>
    </row>
    <row r="243" spans="9:9" ht="32.4">
      <c r="I243" s="76"/>
    </row>
    <row r="244" spans="9:9" ht="32.4">
      <c r="I244" s="76"/>
    </row>
    <row r="245" spans="9:9" ht="32.4">
      <c r="I245" s="76"/>
    </row>
    <row r="246" spans="9:9" ht="32.4">
      <c r="I246" s="76"/>
    </row>
    <row r="247" spans="9:9" ht="32.4">
      <c r="I247" s="76"/>
    </row>
    <row r="248" spans="9:9" ht="32.4">
      <c r="I248" s="76"/>
    </row>
    <row r="249" spans="9:9" ht="32.4">
      <c r="I249" s="76"/>
    </row>
    <row r="250" spans="9:9" ht="32.4">
      <c r="I250" s="76"/>
    </row>
    <row r="251" spans="9:9" ht="32.4">
      <c r="I251" s="76"/>
    </row>
    <row r="252" spans="9:9" ht="32.4">
      <c r="I252" s="76"/>
    </row>
    <row r="253" spans="9:9" ht="32.4">
      <c r="I253" s="76"/>
    </row>
    <row r="254" spans="9:9" ht="32.4">
      <c r="I254" s="76"/>
    </row>
    <row r="255" spans="9:9" ht="32.4">
      <c r="I255" s="76"/>
    </row>
    <row r="256" spans="9:9" ht="32.4">
      <c r="I256" s="76"/>
    </row>
    <row r="257" spans="9:9" ht="32.4">
      <c r="I257" s="76"/>
    </row>
    <row r="258" spans="9:9" ht="32.4">
      <c r="I258" s="76"/>
    </row>
    <row r="259" spans="9:9" ht="32.4">
      <c r="I259" s="76"/>
    </row>
    <row r="260" spans="9:9" ht="32.4">
      <c r="I260" s="76"/>
    </row>
    <row r="261" spans="9:9" ht="32.4">
      <c r="I261" s="76"/>
    </row>
    <row r="262" spans="9:9" ht="32.4">
      <c r="I262" s="76"/>
    </row>
    <row r="263" spans="9:9" ht="32.4">
      <c r="I263" s="76"/>
    </row>
    <row r="264" spans="9:9" ht="32.4">
      <c r="I264" s="76"/>
    </row>
    <row r="265" spans="9:9" ht="32.4">
      <c r="I265" s="76"/>
    </row>
    <row r="266" spans="9:9" ht="32.4">
      <c r="I266" s="76"/>
    </row>
    <row r="267" spans="9:9" ht="32.4">
      <c r="I267" s="76"/>
    </row>
    <row r="268" spans="9:9" ht="32.4">
      <c r="I268" s="76"/>
    </row>
    <row r="269" spans="9:9" ht="32.4">
      <c r="I269" s="76"/>
    </row>
    <row r="270" spans="9:9" ht="32.4">
      <c r="I270" s="76"/>
    </row>
    <row r="271" spans="9:9" ht="32.4">
      <c r="I271" s="76"/>
    </row>
    <row r="272" spans="9:9" ht="32.4">
      <c r="I272" s="76"/>
    </row>
    <row r="273" spans="9:9" ht="32.4">
      <c r="I273" s="76"/>
    </row>
    <row r="274" spans="9:9" ht="32.4">
      <c r="I274" s="76"/>
    </row>
    <row r="275" spans="9:9" ht="32.4">
      <c r="I275" s="76"/>
    </row>
    <row r="276" spans="9:9" ht="32.4">
      <c r="I276" s="76"/>
    </row>
    <row r="277" spans="9:9" ht="32.4">
      <c r="I277" s="76"/>
    </row>
    <row r="278" spans="9:9" ht="32.4">
      <c r="I278" s="76"/>
    </row>
    <row r="279" spans="9:9" ht="32.4">
      <c r="I279" s="76"/>
    </row>
    <row r="280" spans="9:9" ht="32.4">
      <c r="I280" s="76"/>
    </row>
    <row r="281" spans="9:9" ht="32.4">
      <c r="I281" s="76"/>
    </row>
    <row r="282" spans="9:9" ht="32.4">
      <c r="I282" s="76"/>
    </row>
    <row r="283" spans="9:9" ht="32.4">
      <c r="I283" s="76"/>
    </row>
    <row r="284" spans="9:9" ht="32.4">
      <c r="I284" s="76"/>
    </row>
    <row r="285" spans="9:9" ht="32.4">
      <c r="I285" s="76"/>
    </row>
    <row r="286" spans="9:9" ht="32.4">
      <c r="I286" s="76"/>
    </row>
    <row r="287" spans="9:9" ht="32.4">
      <c r="I287" s="76"/>
    </row>
    <row r="288" spans="9:9" ht="32.4">
      <c r="I288" s="76"/>
    </row>
    <row r="289" spans="9:9" ht="32.4">
      <c r="I289" s="76"/>
    </row>
    <row r="290" spans="9:9" ht="32.4">
      <c r="I290" s="76"/>
    </row>
    <row r="291" spans="9:9" ht="32.4">
      <c r="I291" s="76"/>
    </row>
    <row r="292" spans="9:9" ht="32.4">
      <c r="I292" s="76"/>
    </row>
    <row r="293" spans="9:9" ht="32.4">
      <c r="I293" s="76"/>
    </row>
    <row r="294" spans="9:9" ht="32.4">
      <c r="I294" s="76"/>
    </row>
    <row r="295" spans="9:9" ht="32.4">
      <c r="I295" s="76"/>
    </row>
    <row r="296" spans="9:9" ht="32.4">
      <c r="I296" s="76"/>
    </row>
    <row r="297" spans="9:9" ht="32.4">
      <c r="I297" s="76"/>
    </row>
    <row r="298" spans="9:9" ht="32.4">
      <c r="I298" s="76"/>
    </row>
    <row r="299" spans="9:9" ht="32.4">
      <c r="I299" s="76"/>
    </row>
    <row r="300" spans="9:9" ht="32.4">
      <c r="I300" s="76"/>
    </row>
    <row r="301" spans="9:9" ht="32.4">
      <c r="I301" s="76"/>
    </row>
    <row r="302" spans="9:9" ht="32.4">
      <c r="I302" s="76"/>
    </row>
    <row r="303" spans="9:9" ht="32.4">
      <c r="I303" s="76"/>
    </row>
    <row r="304" spans="9:9" ht="32.4">
      <c r="I304" s="76"/>
    </row>
    <row r="305" spans="9:9" ht="32.4">
      <c r="I305" s="76"/>
    </row>
    <row r="306" spans="9:9" ht="32.4">
      <c r="I306" s="76"/>
    </row>
    <row r="307" spans="9:9" ht="32.4">
      <c r="I307" s="76"/>
    </row>
    <row r="308" spans="9:9" ht="32.4">
      <c r="I308" s="76"/>
    </row>
    <row r="309" spans="9:9" ht="32.4">
      <c r="I309" s="76"/>
    </row>
    <row r="310" spans="9:9" ht="32.4">
      <c r="I310" s="76"/>
    </row>
    <row r="311" spans="9:9" ht="32.4">
      <c r="I311" s="76"/>
    </row>
    <row r="312" spans="9:9" ht="32.4">
      <c r="I312" s="76"/>
    </row>
    <row r="313" spans="9:9" ht="32.4">
      <c r="I313" s="76"/>
    </row>
    <row r="314" spans="9:9" ht="32.4">
      <c r="I314" s="76"/>
    </row>
    <row r="315" spans="9:9" ht="32.4">
      <c r="I315" s="76"/>
    </row>
    <row r="316" spans="9:9" ht="32.4">
      <c r="I316" s="76"/>
    </row>
    <row r="317" spans="9:9" ht="32.4">
      <c r="I317" s="76"/>
    </row>
    <row r="318" spans="9:9" ht="32.4">
      <c r="I318" s="76"/>
    </row>
    <row r="319" spans="9:9" ht="32.4">
      <c r="I319" s="76"/>
    </row>
    <row r="320" spans="9:9" ht="32.4">
      <c r="I320" s="76"/>
    </row>
    <row r="321" spans="9:9" ht="32.4">
      <c r="I321" s="76"/>
    </row>
    <row r="322" spans="9:9" ht="32.4">
      <c r="I322" s="76"/>
    </row>
    <row r="323" spans="9:9" ht="32.4">
      <c r="I323" s="76"/>
    </row>
    <row r="324" spans="9:9" ht="32.4">
      <c r="I324" s="76"/>
    </row>
    <row r="325" spans="9:9" ht="32.4">
      <c r="I325" s="76"/>
    </row>
    <row r="326" spans="9:9" ht="32.4">
      <c r="I326" s="76"/>
    </row>
    <row r="327" spans="9:9" ht="32.4">
      <c r="I327" s="76"/>
    </row>
    <row r="328" spans="9:9" ht="32.4">
      <c r="I328" s="76"/>
    </row>
    <row r="329" spans="9:9" ht="32.4">
      <c r="I329" s="76"/>
    </row>
    <row r="330" spans="9:9" ht="32.4">
      <c r="I330" s="76"/>
    </row>
    <row r="331" spans="9:9" ht="32.4">
      <c r="I331" s="76"/>
    </row>
    <row r="332" spans="9:9" ht="32.4">
      <c r="I332" s="76"/>
    </row>
    <row r="333" spans="9:9" ht="32.4">
      <c r="I333" s="76"/>
    </row>
    <row r="334" spans="9:9" ht="32.4">
      <c r="I334" s="76"/>
    </row>
    <row r="335" spans="9:9" ht="32.4">
      <c r="I335" s="76"/>
    </row>
    <row r="336" spans="9:9" ht="32.4">
      <c r="I336" s="76"/>
    </row>
    <row r="337" spans="9:9" ht="32.4">
      <c r="I337" s="76"/>
    </row>
    <row r="338" spans="9:9" ht="32.4">
      <c r="I338" s="76"/>
    </row>
    <row r="339" spans="9:9" ht="32.4">
      <c r="I339" s="76"/>
    </row>
    <row r="340" spans="9:9" ht="32.4">
      <c r="I340" s="76"/>
    </row>
    <row r="341" spans="9:9" ht="32.4">
      <c r="I341" s="76"/>
    </row>
    <row r="342" spans="9:9" ht="32.4">
      <c r="I342" s="76"/>
    </row>
    <row r="343" spans="9:9" ht="32.4">
      <c r="I343" s="76"/>
    </row>
    <row r="344" spans="9:9" ht="32.4">
      <c r="I344" s="76"/>
    </row>
    <row r="345" spans="9:9" ht="32.4">
      <c r="I345" s="76"/>
    </row>
    <row r="346" spans="9:9" ht="32.4">
      <c r="I346" s="76"/>
    </row>
    <row r="347" spans="9:9" ht="32.4">
      <c r="I347" s="76"/>
    </row>
    <row r="348" spans="9:9" ht="32.4">
      <c r="I348" s="76"/>
    </row>
    <row r="349" spans="9:9" ht="32.4">
      <c r="I349" s="76"/>
    </row>
    <row r="350" spans="9:9" ht="32.4">
      <c r="I350" s="76"/>
    </row>
    <row r="351" spans="9:9" ht="32.4">
      <c r="I351" s="76"/>
    </row>
    <row r="352" spans="9:9" ht="32.4">
      <c r="I352" s="76"/>
    </row>
    <row r="353" spans="9:9" ht="32.4">
      <c r="I353" s="76"/>
    </row>
    <row r="354" spans="9:9" ht="32.4">
      <c r="I354" s="76"/>
    </row>
    <row r="355" spans="9:9" ht="32.4">
      <c r="I355" s="76"/>
    </row>
    <row r="356" spans="9:9" ht="32.4">
      <c r="I356" s="76"/>
    </row>
    <row r="357" spans="9:9" ht="32.4">
      <c r="I357" s="76"/>
    </row>
    <row r="358" spans="9:9" ht="32.4">
      <c r="I358" s="76"/>
    </row>
    <row r="359" spans="9:9" ht="32.4">
      <c r="I359" s="76"/>
    </row>
    <row r="360" spans="9:9" ht="32.4">
      <c r="I360" s="76"/>
    </row>
    <row r="361" spans="9:9" ht="32.4">
      <c r="I361" s="76"/>
    </row>
    <row r="362" spans="9:9" ht="32.4">
      <c r="I362" s="76"/>
    </row>
    <row r="363" spans="9:9" ht="32.4">
      <c r="I363" s="76"/>
    </row>
    <row r="364" spans="9:9" ht="32.4">
      <c r="I364" s="76"/>
    </row>
    <row r="365" spans="9:9" ht="32.4">
      <c r="I365" s="76"/>
    </row>
    <row r="366" spans="9:9" ht="32.4">
      <c r="I366" s="76"/>
    </row>
    <row r="367" spans="9:9" ht="32.4">
      <c r="I367" s="76"/>
    </row>
    <row r="368" spans="9:9" ht="32.4">
      <c r="I368" s="76"/>
    </row>
    <row r="369" spans="9:9" ht="32.4">
      <c r="I369" s="76"/>
    </row>
    <row r="370" spans="9:9" ht="32.4">
      <c r="I370" s="76"/>
    </row>
    <row r="371" spans="9:9" ht="32.4">
      <c r="I371" s="76"/>
    </row>
    <row r="372" spans="9:9" ht="32.4">
      <c r="I372" s="76"/>
    </row>
    <row r="373" spans="9:9" ht="32.4">
      <c r="I373" s="76"/>
    </row>
    <row r="374" spans="9:9" ht="32.4">
      <c r="I374" s="76"/>
    </row>
    <row r="375" spans="9:9" ht="32.4">
      <c r="I375" s="76"/>
    </row>
    <row r="376" spans="9:9" ht="32.4">
      <c r="I376" s="76"/>
    </row>
    <row r="377" spans="9:9" ht="32.4">
      <c r="I377" s="76"/>
    </row>
    <row r="378" spans="9:9" ht="32.4">
      <c r="I378" s="76"/>
    </row>
    <row r="379" spans="9:9" ht="32.4">
      <c r="I379" s="76"/>
    </row>
    <row r="380" spans="9:9" ht="32.4">
      <c r="I380" s="76"/>
    </row>
    <row r="381" spans="9:9" ht="32.4">
      <c r="I381" s="76"/>
    </row>
    <row r="382" spans="9:9" ht="32.4">
      <c r="I382" s="76"/>
    </row>
    <row r="383" spans="9:9" ht="32.4">
      <c r="I383" s="76"/>
    </row>
    <row r="384" spans="9:9" ht="32.4">
      <c r="I384" s="76"/>
    </row>
    <row r="385" spans="9:9" ht="32.4">
      <c r="I385" s="76"/>
    </row>
    <row r="386" spans="9:9" ht="32.4">
      <c r="I386" s="76"/>
    </row>
    <row r="387" spans="9:9" ht="32.4">
      <c r="I387" s="76"/>
    </row>
    <row r="388" spans="9:9" ht="32.4">
      <c r="I388" s="76"/>
    </row>
    <row r="389" spans="9:9" ht="32.4">
      <c r="I389" s="76"/>
    </row>
    <row r="390" spans="9:9" ht="32.4">
      <c r="I390" s="76"/>
    </row>
    <row r="391" spans="9:9" ht="32.4">
      <c r="I391" s="76"/>
    </row>
    <row r="392" spans="9:9" ht="32.4">
      <c r="I392" s="76"/>
    </row>
    <row r="393" spans="9:9" ht="32.4">
      <c r="I393" s="76"/>
    </row>
    <row r="394" spans="9:9" ht="32.4">
      <c r="I394" s="76"/>
    </row>
    <row r="395" spans="9:9" ht="32.4">
      <c r="I395" s="76"/>
    </row>
    <row r="396" spans="9:9" ht="32.4">
      <c r="I396" s="76"/>
    </row>
    <row r="397" spans="9:9" ht="32.4">
      <c r="I397" s="76"/>
    </row>
    <row r="398" spans="9:9" ht="32.4">
      <c r="I398" s="76"/>
    </row>
    <row r="399" spans="9:9" ht="32.4">
      <c r="I399" s="76"/>
    </row>
    <row r="400" spans="9:9" ht="32.4">
      <c r="I400" s="76"/>
    </row>
    <row r="401" spans="9:9" ht="32.4">
      <c r="I401" s="76"/>
    </row>
    <row r="402" spans="9:9" ht="32.4">
      <c r="I402" s="76"/>
    </row>
    <row r="403" spans="9:9" ht="32.4">
      <c r="I403" s="76"/>
    </row>
    <row r="404" spans="9:9" ht="32.4">
      <c r="I404" s="76"/>
    </row>
    <row r="405" spans="9:9" ht="32.4">
      <c r="I405" s="76"/>
    </row>
    <row r="406" spans="9:9" ht="32.4">
      <c r="I406" s="76"/>
    </row>
    <row r="407" spans="9:9" ht="32.4">
      <c r="I407" s="76"/>
    </row>
    <row r="408" spans="9:9" ht="32.4">
      <c r="I408" s="76"/>
    </row>
    <row r="409" spans="9:9" ht="32.4">
      <c r="I409" s="76"/>
    </row>
    <row r="410" spans="9:9" ht="32.4">
      <c r="I410" s="76"/>
    </row>
    <row r="411" spans="9:9" ht="32.4">
      <c r="I411" s="76"/>
    </row>
    <row r="412" spans="9:9" ht="32.4">
      <c r="I412" s="76"/>
    </row>
    <row r="413" spans="9:9" ht="32.4">
      <c r="I413" s="76"/>
    </row>
    <row r="414" spans="9:9" ht="32.4">
      <c r="I414" s="76"/>
    </row>
    <row r="415" spans="9:9" ht="32.4">
      <c r="I415" s="76"/>
    </row>
    <row r="416" spans="9:9" ht="32.4">
      <c r="I416" s="76"/>
    </row>
    <row r="417" spans="9:9" ht="32.4">
      <c r="I417" s="76"/>
    </row>
    <row r="418" spans="9:9" ht="32.4">
      <c r="I418" s="76"/>
    </row>
    <row r="419" spans="9:9" ht="32.4">
      <c r="I419" s="76"/>
    </row>
    <row r="420" spans="9:9" ht="32.4">
      <c r="I420" s="76"/>
    </row>
    <row r="421" spans="9:9" ht="32.4">
      <c r="I421" s="76"/>
    </row>
    <row r="422" spans="9:9" ht="32.4">
      <c r="I422" s="76"/>
    </row>
    <row r="423" spans="9:9" ht="32.4">
      <c r="I423" s="76"/>
    </row>
    <row r="424" spans="9:9" ht="32.4">
      <c r="I424" s="76"/>
    </row>
    <row r="425" spans="9:9" ht="32.4">
      <c r="I425" s="76"/>
    </row>
    <row r="426" spans="9:9" ht="32.4">
      <c r="I426" s="76"/>
    </row>
    <row r="427" spans="9:9" ht="32.4">
      <c r="I427" s="76"/>
    </row>
    <row r="428" spans="9:9" ht="32.4">
      <c r="I428" s="76"/>
    </row>
    <row r="429" spans="9:9" ht="32.4">
      <c r="I429" s="76"/>
    </row>
    <row r="430" spans="9:9" ht="32.4">
      <c r="I430" s="76"/>
    </row>
    <row r="431" spans="9:9" ht="32.4">
      <c r="I431" s="76"/>
    </row>
    <row r="432" spans="9:9" ht="32.4">
      <c r="I432" s="76"/>
    </row>
    <row r="433" spans="9:9" ht="32.4">
      <c r="I433" s="76"/>
    </row>
    <row r="434" spans="9:9" ht="32.4">
      <c r="I434" s="76"/>
    </row>
    <row r="435" spans="9:9" ht="32.4">
      <c r="I435" s="76"/>
    </row>
    <row r="436" spans="9:9" ht="32.4">
      <c r="I436" s="76"/>
    </row>
    <row r="437" spans="9:9" ht="32.4">
      <c r="I437" s="76"/>
    </row>
    <row r="438" spans="9:9" ht="32.4">
      <c r="I438" s="76"/>
    </row>
    <row r="439" spans="9:9" ht="32.4">
      <c r="I439" s="76"/>
    </row>
    <row r="440" spans="9:9" ht="32.4">
      <c r="I440" s="76"/>
    </row>
    <row r="441" spans="9:9" ht="32.4">
      <c r="I441" s="76"/>
    </row>
    <row r="442" spans="9:9" ht="32.4">
      <c r="I442" s="76"/>
    </row>
    <row r="443" spans="9:9" ht="32.4">
      <c r="I443" s="76"/>
    </row>
    <row r="444" spans="9:9" ht="32.4">
      <c r="I444" s="76"/>
    </row>
    <row r="445" spans="9:9" ht="32.4">
      <c r="I445" s="76"/>
    </row>
    <row r="446" spans="9:9" ht="32.4">
      <c r="I446" s="76"/>
    </row>
    <row r="447" spans="9:9" ht="32.4">
      <c r="I447" s="76"/>
    </row>
    <row r="448" spans="9:9" ht="32.4">
      <c r="I448" s="76"/>
    </row>
    <row r="449" spans="9:9" ht="32.4">
      <c r="I449" s="76"/>
    </row>
    <row r="450" spans="9:9" ht="32.4">
      <c r="I450" s="76"/>
    </row>
    <row r="451" spans="9:9" ht="32.4">
      <c r="I451" s="76"/>
    </row>
    <row r="452" spans="9:9" ht="32.4">
      <c r="I452" s="76"/>
    </row>
    <row r="453" spans="9:9" ht="32.4">
      <c r="I453" s="76"/>
    </row>
    <row r="454" spans="9:9" ht="32.4">
      <c r="I454" s="76"/>
    </row>
    <row r="455" spans="9:9" ht="32.4">
      <c r="I455" s="76"/>
    </row>
    <row r="456" spans="9:9" ht="32.4">
      <c r="I456" s="76"/>
    </row>
    <row r="457" spans="9:9" ht="32.4">
      <c r="I457" s="76"/>
    </row>
    <row r="458" spans="9:9" ht="32.4">
      <c r="I458" s="76"/>
    </row>
    <row r="459" spans="9:9" ht="32.4">
      <c r="I459" s="76"/>
    </row>
    <row r="460" spans="9:9" ht="32.4">
      <c r="I460" s="76"/>
    </row>
    <row r="461" spans="9:9" ht="32.4">
      <c r="I461" s="76"/>
    </row>
    <row r="462" spans="9:9" ht="32.4">
      <c r="I462" s="76"/>
    </row>
    <row r="463" spans="9:9" ht="32.4">
      <c r="I463" s="76"/>
    </row>
    <row r="464" spans="9:9" ht="32.4">
      <c r="I464" s="76"/>
    </row>
    <row r="465" spans="9:9" ht="32.4">
      <c r="I465" s="76"/>
    </row>
    <row r="466" spans="9:9" ht="32.4">
      <c r="I466" s="76"/>
    </row>
    <row r="467" spans="9:9" ht="32.4">
      <c r="I467" s="76"/>
    </row>
    <row r="468" spans="9:9" ht="32.4">
      <c r="I468" s="76"/>
    </row>
    <row r="469" spans="9:9" ht="32.4">
      <c r="I469" s="76"/>
    </row>
    <row r="470" spans="9:9" ht="32.4">
      <c r="I470" s="76"/>
    </row>
    <row r="471" spans="9:9" ht="32.4">
      <c r="I471" s="76"/>
    </row>
    <row r="472" spans="9:9" ht="32.4">
      <c r="I472" s="76"/>
    </row>
    <row r="473" spans="9:9" ht="32.4">
      <c r="I473" s="76"/>
    </row>
    <row r="474" spans="9:9" ht="32.4">
      <c r="I474" s="76"/>
    </row>
    <row r="475" spans="9:9" ht="32.4">
      <c r="I475" s="76"/>
    </row>
    <row r="476" spans="9:9" ht="32.4">
      <c r="I476" s="76"/>
    </row>
    <row r="477" spans="9:9" ht="32.4">
      <c r="I477" s="76"/>
    </row>
    <row r="478" spans="9:9" ht="32.4">
      <c r="I478" s="76"/>
    </row>
    <row r="479" spans="9:9" ht="32.4">
      <c r="I479" s="76"/>
    </row>
    <row r="480" spans="9:9" ht="32.4">
      <c r="I480" s="76"/>
    </row>
    <row r="481" spans="9:9" ht="32.4">
      <c r="I481" s="76"/>
    </row>
    <row r="482" spans="9:9" ht="32.4">
      <c r="I482" s="76"/>
    </row>
    <row r="483" spans="9:9" ht="32.4">
      <c r="I483" s="76"/>
    </row>
    <row r="484" spans="9:9" ht="32.4">
      <c r="I484" s="76"/>
    </row>
    <row r="485" spans="9:9" ht="32.4">
      <c r="I485" s="76"/>
    </row>
    <row r="486" spans="9:9" ht="32.4">
      <c r="I486" s="76"/>
    </row>
    <row r="487" spans="9:9" ht="32.4">
      <c r="I487" s="76"/>
    </row>
    <row r="488" spans="9:9" ht="32.4">
      <c r="I488" s="76"/>
    </row>
    <row r="489" spans="9:9" ht="32.4">
      <c r="I489" s="76"/>
    </row>
    <row r="490" spans="9:9" ht="32.4">
      <c r="I490" s="76"/>
    </row>
    <row r="491" spans="9:9" ht="32.4">
      <c r="I491" s="76"/>
    </row>
    <row r="492" spans="9:9" ht="32.4">
      <c r="I492" s="76"/>
    </row>
    <row r="493" spans="9:9" ht="32.4">
      <c r="I493" s="76"/>
    </row>
    <row r="494" spans="9:9" ht="32.4">
      <c r="I494" s="76"/>
    </row>
    <row r="495" spans="9:9" ht="32.4">
      <c r="I495" s="76"/>
    </row>
    <row r="496" spans="9:9" ht="32.4">
      <c r="I496" s="76"/>
    </row>
    <row r="497" spans="9:9" ht="32.4">
      <c r="I497" s="76"/>
    </row>
    <row r="498" spans="9:9" ht="32.4">
      <c r="I498" s="76"/>
    </row>
    <row r="499" spans="9:9" ht="32.4">
      <c r="I499" s="76"/>
    </row>
    <row r="500" spans="9:9" ht="32.4">
      <c r="I500" s="76"/>
    </row>
    <row r="501" spans="9:9" ht="32.4">
      <c r="I501" s="76"/>
    </row>
    <row r="502" spans="9:9" ht="32.4">
      <c r="I502" s="76"/>
    </row>
    <row r="503" spans="9:9" ht="32.4">
      <c r="I503" s="76"/>
    </row>
    <row r="504" spans="9:9" ht="32.4">
      <c r="I504" s="76"/>
    </row>
    <row r="505" spans="9:9" ht="32.4">
      <c r="I505" s="76"/>
    </row>
    <row r="506" spans="9:9" ht="32.4">
      <c r="I506" s="76"/>
    </row>
    <row r="507" spans="9:9" ht="32.4">
      <c r="I507" s="76"/>
    </row>
    <row r="508" spans="9:9" ht="32.4">
      <c r="I508" s="76"/>
    </row>
    <row r="509" spans="9:9" ht="32.4">
      <c r="I509" s="76"/>
    </row>
    <row r="510" spans="9:9" ht="32.4">
      <c r="I510" s="76"/>
    </row>
    <row r="511" spans="9:9" ht="32.4">
      <c r="I511" s="76"/>
    </row>
    <row r="512" spans="9:9" ht="32.4">
      <c r="I512" s="76"/>
    </row>
    <row r="513" spans="9:9" ht="32.4">
      <c r="I513" s="76"/>
    </row>
    <row r="514" spans="9:9" ht="32.4">
      <c r="I514" s="76"/>
    </row>
    <row r="515" spans="9:9" ht="32.4">
      <c r="I515" s="76"/>
    </row>
    <row r="516" spans="9:9" ht="32.4">
      <c r="I516" s="76"/>
    </row>
    <row r="517" spans="9:9" ht="32.4">
      <c r="I517" s="76"/>
    </row>
    <row r="518" spans="9:9" ht="32.4">
      <c r="I518" s="76"/>
    </row>
    <row r="519" spans="9:9" ht="32.4">
      <c r="I519" s="76"/>
    </row>
    <row r="520" spans="9:9" ht="32.4">
      <c r="I520" s="76"/>
    </row>
    <row r="521" spans="9:9" ht="32.4">
      <c r="I521" s="76"/>
    </row>
    <row r="522" spans="9:9" ht="32.4">
      <c r="I522" s="76"/>
    </row>
    <row r="523" spans="9:9" ht="32.4">
      <c r="I523" s="76"/>
    </row>
    <row r="524" spans="9:9" ht="32.4">
      <c r="I524" s="76"/>
    </row>
    <row r="525" spans="9:9" ht="32.4">
      <c r="I525" s="76"/>
    </row>
    <row r="526" spans="9:9" ht="32.4">
      <c r="I526" s="76"/>
    </row>
    <row r="527" spans="9:9" ht="32.4">
      <c r="I527" s="76"/>
    </row>
    <row r="528" spans="9:9" ht="32.4">
      <c r="I528" s="76"/>
    </row>
    <row r="529" spans="9:9" ht="32.4">
      <c r="I529" s="76"/>
    </row>
    <row r="530" spans="9:9" ht="32.4">
      <c r="I530" s="76"/>
    </row>
    <row r="531" spans="9:9" ht="32.4">
      <c r="I531" s="76"/>
    </row>
    <row r="532" spans="9:9" ht="32.4">
      <c r="I532" s="76"/>
    </row>
    <row r="533" spans="9:9" ht="32.4">
      <c r="I533" s="76"/>
    </row>
    <row r="534" spans="9:9" ht="32.4">
      <c r="I534" s="76"/>
    </row>
    <row r="535" spans="9:9" ht="32.4">
      <c r="I535" s="76"/>
    </row>
    <row r="536" spans="9:9" ht="32.4">
      <c r="I536" s="76"/>
    </row>
    <row r="537" spans="9:9" ht="32.4">
      <c r="I537" s="76"/>
    </row>
    <row r="538" spans="9:9" ht="32.4">
      <c r="I538" s="76"/>
    </row>
    <row r="539" spans="9:9" ht="32.4">
      <c r="I539" s="76"/>
    </row>
    <row r="540" spans="9:9" ht="32.4">
      <c r="I540" s="76"/>
    </row>
    <row r="541" spans="9:9" ht="32.4">
      <c r="I541" s="76"/>
    </row>
    <row r="542" spans="9:9" ht="32.4">
      <c r="I542" s="76"/>
    </row>
    <row r="543" spans="9:9" ht="32.4">
      <c r="I543" s="76"/>
    </row>
    <row r="544" spans="9:9" ht="32.4">
      <c r="I544" s="76"/>
    </row>
    <row r="545" spans="9:9" ht="32.4">
      <c r="I545" s="76"/>
    </row>
    <row r="546" spans="9:9" ht="32.4">
      <c r="I546" s="76"/>
    </row>
    <row r="547" spans="9:9" ht="32.4">
      <c r="I547" s="76"/>
    </row>
    <row r="548" spans="9:9" ht="32.4">
      <c r="I548" s="76"/>
    </row>
    <row r="549" spans="9:9" ht="32.4">
      <c r="I549" s="76"/>
    </row>
    <row r="550" spans="9:9" ht="32.4">
      <c r="I550" s="76"/>
    </row>
    <row r="551" spans="9:9" ht="32.4">
      <c r="I551" s="76"/>
    </row>
    <row r="552" spans="9:9" ht="32.4">
      <c r="I552" s="76"/>
    </row>
    <row r="553" spans="9:9" ht="32.4">
      <c r="I553" s="76"/>
    </row>
    <row r="554" spans="9:9" ht="32.4">
      <c r="I554" s="76"/>
    </row>
    <row r="555" spans="9:9" ht="32.4">
      <c r="I555" s="76"/>
    </row>
    <row r="556" spans="9:9" ht="32.4">
      <c r="I556" s="76"/>
    </row>
    <row r="557" spans="9:9" ht="32.4">
      <c r="I557" s="76"/>
    </row>
    <row r="558" spans="9:9" ht="32.4">
      <c r="I558" s="76"/>
    </row>
    <row r="559" spans="9:9" ht="32.4">
      <c r="I559" s="76"/>
    </row>
    <row r="560" spans="9:9" ht="32.4">
      <c r="I560" s="76"/>
    </row>
    <row r="561" spans="9:9" ht="32.4">
      <c r="I561" s="76"/>
    </row>
    <row r="562" spans="9:9" ht="32.4">
      <c r="I562" s="76"/>
    </row>
    <row r="563" spans="9:9" ht="32.4">
      <c r="I563" s="76"/>
    </row>
    <row r="564" spans="9:9" ht="32.4">
      <c r="I564" s="76"/>
    </row>
    <row r="565" spans="9:9" ht="32.4">
      <c r="I565" s="76"/>
    </row>
    <row r="566" spans="9:9" ht="32.4">
      <c r="I566" s="76"/>
    </row>
    <row r="567" spans="9:9" ht="32.4">
      <c r="I567" s="76"/>
    </row>
    <row r="568" spans="9:9" ht="32.4">
      <c r="I568" s="76"/>
    </row>
    <row r="569" spans="9:9" ht="32.4">
      <c r="I569" s="76"/>
    </row>
    <row r="570" spans="9:9" ht="32.4">
      <c r="I570" s="76"/>
    </row>
    <row r="571" spans="9:9" ht="32.4">
      <c r="I571" s="76"/>
    </row>
    <row r="572" spans="9:9" ht="32.4">
      <c r="I572" s="76"/>
    </row>
    <row r="573" spans="9:9" ht="32.4">
      <c r="I573" s="76"/>
    </row>
    <row r="574" spans="9:9" ht="32.4">
      <c r="I574" s="76"/>
    </row>
    <row r="575" spans="9:9" ht="32.4">
      <c r="I575" s="76"/>
    </row>
    <row r="576" spans="9:9" ht="32.4">
      <c r="I576" s="76"/>
    </row>
    <row r="577" spans="9:9" ht="32.4">
      <c r="I577" s="76"/>
    </row>
    <row r="578" spans="9:9" ht="32.4">
      <c r="I578" s="76"/>
    </row>
    <row r="579" spans="9:9" ht="32.4">
      <c r="I579" s="76"/>
    </row>
    <row r="580" spans="9:9" ht="32.4">
      <c r="I580" s="76"/>
    </row>
    <row r="581" spans="9:9" ht="32.4">
      <c r="I581" s="76"/>
    </row>
    <row r="582" spans="9:9" ht="32.4">
      <c r="I582" s="76"/>
    </row>
    <row r="583" spans="9:9" ht="32.4">
      <c r="I583" s="76"/>
    </row>
    <row r="584" spans="9:9" ht="32.4">
      <c r="I584" s="76"/>
    </row>
    <row r="585" spans="9:9" ht="32.4">
      <c r="I585" s="76"/>
    </row>
    <row r="586" spans="9:9" ht="32.4">
      <c r="I586" s="76"/>
    </row>
    <row r="587" spans="9:9" ht="32.4">
      <c r="I587" s="76"/>
    </row>
    <row r="588" spans="9:9" ht="32.4">
      <c r="I588" s="76"/>
    </row>
    <row r="589" spans="9:9" ht="32.4">
      <c r="I589" s="76"/>
    </row>
    <row r="590" spans="9:9" ht="32.4">
      <c r="I590" s="76"/>
    </row>
    <row r="591" spans="9:9" ht="32.4">
      <c r="I591" s="76"/>
    </row>
    <row r="592" spans="9:9" ht="32.4">
      <c r="I592" s="76"/>
    </row>
    <row r="593" spans="9:9" ht="32.4">
      <c r="I593" s="76"/>
    </row>
    <row r="594" spans="9:9" ht="32.4">
      <c r="I594" s="76"/>
    </row>
    <row r="595" spans="9:9" ht="32.4">
      <c r="I595" s="76"/>
    </row>
    <row r="596" spans="9:9" ht="32.4">
      <c r="I596" s="76"/>
    </row>
    <row r="597" spans="9:9" ht="32.4">
      <c r="I597" s="76"/>
    </row>
    <row r="598" spans="9:9" ht="32.4">
      <c r="I598" s="76"/>
    </row>
    <row r="599" spans="9:9" ht="32.4">
      <c r="I599" s="76"/>
    </row>
    <row r="600" spans="9:9" ht="32.4">
      <c r="I600" s="76"/>
    </row>
    <row r="601" spans="9:9" ht="32.4">
      <c r="I601" s="76"/>
    </row>
    <row r="602" spans="9:9" ht="32.4">
      <c r="I602" s="76"/>
    </row>
    <row r="603" spans="9:9" ht="32.4">
      <c r="I603" s="76"/>
    </row>
    <row r="604" spans="9:9" ht="32.4">
      <c r="I604" s="76"/>
    </row>
    <row r="605" spans="9:9" ht="32.4">
      <c r="I605" s="76"/>
    </row>
    <row r="606" spans="9:9" ht="32.4">
      <c r="I606" s="76"/>
    </row>
    <row r="607" spans="9:9" ht="32.4">
      <c r="I607" s="76"/>
    </row>
    <row r="608" spans="9:9" ht="32.4">
      <c r="I608" s="76"/>
    </row>
    <row r="609" spans="9:9" ht="32.4">
      <c r="I609" s="76"/>
    </row>
    <row r="610" spans="9:9" ht="32.4">
      <c r="I610" s="76"/>
    </row>
    <row r="611" spans="9:9" ht="32.4">
      <c r="I611" s="76"/>
    </row>
    <row r="612" spans="9:9" ht="32.4">
      <c r="I612" s="76"/>
    </row>
    <row r="613" spans="9:9" ht="32.4">
      <c r="I613" s="76"/>
    </row>
    <row r="614" spans="9:9" ht="32.4">
      <c r="I614" s="76"/>
    </row>
    <row r="615" spans="9:9" ht="32.4">
      <c r="I615" s="76"/>
    </row>
    <row r="616" spans="9:9" ht="32.4">
      <c r="I616" s="76"/>
    </row>
    <row r="617" spans="9:9" ht="32.4">
      <c r="I617" s="76"/>
    </row>
    <row r="618" spans="9:9" ht="32.4">
      <c r="I618" s="76"/>
    </row>
    <row r="619" spans="9:9" ht="32.4">
      <c r="I619" s="76"/>
    </row>
    <row r="620" spans="9:9" ht="32.4">
      <c r="I620" s="76"/>
    </row>
    <row r="621" spans="9:9" ht="32.4">
      <c r="I621" s="76"/>
    </row>
    <row r="622" spans="9:9" ht="32.4">
      <c r="I622" s="76"/>
    </row>
    <row r="623" spans="9:9" ht="32.4">
      <c r="I623" s="76"/>
    </row>
    <row r="624" spans="9:9" ht="32.4">
      <c r="I624" s="76"/>
    </row>
    <row r="625" spans="9:9" ht="32.4">
      <c r="I625" s="76"/>
    </row>
    <row r="626" spans="9:9" ht="32.4">
      <c r="I626" s="76"/>
    </row>
    <row r="627" spans="9:9" ht="32.4">
      <c r="I627" s="76"/>
    </row>
    <row r="628" spans="9:9" ht="32.4">
      <c r="I628" s="76"/>
    </row>
    <row r="629" spans="9:9" ht="32.4">
      <c r="I629" s="76"/>
    </row>
    <row r="630" spans="9:9" ht="32.4">
      <c r="I630" s="76"/>
    </row>
    <row r="631" spans="9:9" ht="32.4">
      <c r="I631" s="76"/>
    </row>
    <row r="632" spans="9:9" ht="32.4">
      <c r="I632" s="76"/>
    </row>
    <row r="633" spans="9:9" ht="32.4">
      <c r="I633" s="76"/>
    </row>
    <row r="634" spans="9:9" ht="32.4">
      <c r="I634" s="76"/>
    </row>
    <row r="635" spans="9:9" ht="32.4">
      <c r="I635" s="76"/>
    </row>
    <row r="636" spans="9:9" ht="32.4">
      <c r="I636" s="76"/>
    </row>
    <row r="637" spans="9:9" ht="32.4">
      <c r="I637" s="76"/>
    </row>
    <row r="638" spans="9:9" ht="32.4">
      <c r="I638" s="76"/>
    </row>
    <row r="639" spans="9:9" ht="32.4">
      <c r="I639" s="76"/>
    </row>
    <row r="640" spans="9:9" ht="32.4">
      <c r="I640" s="76"/>
    </row>
    <row r="641" spans="9:9" ht="32.4">
      <c r="I641" s="76"/>
    </row>
    <row r="642" spans="9:9" ht="32.4">
      <c r="I642" s="76"/>
    </row>
    <row r="643" spans="9:9" ht="32.4">
      <c r="I643" s="76"/>
    </row>
    <row r="644" spans="9:9" ht="32.4">
      <c r="I644" s="76"/>
    </row>
    <row r="645" spans="9:9" ht="32.4">
      <c r="I645" s="76"/>
    </row>
    <row r="646" spans="9:9" ht="32.4">
      <c r="I646" s="76"/>
    </row>
    <row r="647" spans="9:9" ht="32.4">
      <c r="I647" s="76"/>
    </row>
    <row r="648" spans="9:9" ht="32.4">
      <c r="I648" s="76"/>
    </row>
    <row r="649" spans="9:9" ht="32.4">
      <c r="I649" s="76"/>
    </row>
    <row r="650" spans="9:9" ht="32.4">
      <c r="I650" s="76"/>
    </row>
    <row r="651" spans="9:9" ht="32.4">
      <c r="I651" s="76"/>
    </row>
    <row r="652" spans="9:9" ht="32.4">
      <c r="I652" s="76"/>
    </row>
    <row r="653" spans="9:9" ht="32.4">
      <c r="I653" s="76"/>
    </row>
    <row r="654" spans="9:9" ht="32.4">
      <c r="I654" s="76"/>
    </row>
    <row r="655" spans="9:9" ht="32.4">
      <c r="I655" s="76"/>
    </row>
    <row r="656" spans="9:9" ht="32.4">
      <c r="I656" s="76"/>
    </row>
    <row r="657" spans="9:9" ht="32.4">
      <c r="I657" s="76"/>
    </row>
    <row r="658" spans="9:9" ht="32.4">
      <c r="I658" s="76"/>
    </row>
    <row r="659" spans="9:9" ht="32.4">
      <c r="I659" s="76"/>
    </row>
    <row r="660" spans="9:9" ht="32.4">
      <c r="I660" s="76"/>
    </row>
    <row r="661" spans="9:9" ht="32.4">
      <c r="I661" s="76"/>
    </row>
    <row r="662" spans="9:9" ht="32.4">
      <c r="I662" s="76"/>
    </row>
    <row r="663" spans="9:9" ht="32.4">
      <c r="I663" s="76"/>
    </row>
    <row r="664" spans="9:9" ht="32.4">
      <c r="I664" s="76"/>
    </row>
    <row r="665" spans="9:9" ht="32.4">
      <c r="I665" s="76"/>
    </row>
    <row r="666" spans="9:9" ht="32.4">
      <c r="I666" s="76"/>
    </row>
    <row r="667" spans="9:9" ht="32.4">
      <c r="I667" s="76"/>
    </row>
    <row r="668" spans="9:9" ht="32.4">
      <c r="I668" s="76"/>
    </row>
    <row r="669" spans="9:9" ht="32.4">
      <c r="I669" s="76"/>
    </row>
    <row r="670" spans="9:9" ht="32.4">
      <c r="I670" s="76"/>
    </row>
    <row r="671" spans="9:9" ht="32.4">
      <c r="I671" s="76"/>
    </row>
    <row r="672" spans="9:9" ht="32.4">
      <c r="I672" s="76"/>
    </row>
    <row r="673" spans="9:9" ht="32.4">
      <c r="I673" s="76"/>
    </row>
    <row r="674" spans="9:9" ht="32.4">
      <c r="I674" s="76"/>
    </row>
    <row r="675" spans="9:9" ht="32.4">
      <c r="I675" s="76"/>
    </row>
    <row r="676" spans="9:9" ht="32.4">
      <c r="I676" s="76"/>
    </row>
    <row r="677" spans="9:9" ht="32.4">
      <c r="I677" s="76"/>
    </row>
    <row r="678" spans="9:9" ht="32.4">
      <c r="I678" s="76"/>
    </row>
    <row r="679" spans="9:9" ht="32.4">
      <c r="I679" s="76"/>
    </row>
    <row r="680" spans="9:9" ht="32.4">
      <c r="I680" s="76"/>
    </row>
    <row r="681" spans="9:9" ht="32.4">
      <c r="I681" s="76"/>
    </row>
    <row r="682" spans="9:9" ht="32.4">
      <c r="I682" s="76"/>
    </row>
    <row r="683" spans="9:9" ht="32.4">
      <c r="I683" s="76"/>
    </row>
    <row r="684" spans="9:9" ht="32.4">
      <c r="I684" s="76"/>
    </row>
    <row r="685" spans="9:9" ht="32.4">
      <c r="I685" s="76"/>
    </row>
    <row r="686" spans="9:9" ht="32.4">
      <c r="I686" s="76"/>
    </row>
    <row r="687" spans="9:9" ht="32.4">
      <c r="I687" s="76"/>
    </row>
    <row r="688" spans="9:9" ht="32.4">
      <c r="I688" s="76"/>
    </row>
    <row r="689" spans="9:9" ht="32.4">
      <c r="I689" s="76"/>
    </row>
    <row r="690" spans="9:9" ht="32.4">
      <c r="I690" s="76"/>
    </row>
    <row r="691" spans="9:9" ht="32.4">
      <c r="I691" s="76"/>
    </row>
    <row r="692" spans="9:9" ht="32.4">
      <c r="I692" s="76"/>
    </row>
    <row r="693" spans="9:9" ht="32.4">
      <c r="I693" s="76"/>
    </row>
    <row r="694" spans="9:9" ht="32.4">
      <c r="I694" s="76"/>
    </row>
    <row r="695" spans="9:9" ht="32.4">
      <c r="I695" s="76"/>
    </row>
    <row r="696" spans="9:9" ht="32.4">
      <c r="I696" s="76"/>
    </row>
    <row r="697" spans="9:9" ht="32.4">
      <c r="I697" s="76"/>
    </row>
    <row r="698" spans="9:9" ht="32.4">
      <c r="I698" s="76"/>
    </row>
    <row r="699" spans="9:9" ht="32.4">
      <c r="I699" s="76"/>
    </row>
    <row r="700" spans="9:9" ht="32.4">
      <c r="I700" s="76"/>
    </row>
    <row r="701" spans="9:9" ht="32.4">
      <c r="I701" s="76"/>
    </row>
    <row r="702" spans="9:9" ht="32.4">
      <c r="I702" s="76"/>
    </row>
    <row r="703" spans="9:9" ht="32.4">
      <c r="I703" s="76"/>
    </row>
    <row r="704" spans="9:9" ht="32.4">
      <c r="I704" s="76"/>
    </row>
    <row r="705" spans="9:9" ht="32.4">
      <c r="I705" s="76"/>
    </row>
    <row r="706" spans="9:9" ht="32.4">
      <c r="I706" s="76"/>
    </row>
    <row r="707" spans="9:9" ht="32.4">
      <c r="I707" s="76"/>
    </row>
    <row r="708" spans="9:9" ht="32.4">
      <c r="I708" s="76"/>
    </row>
    <row r="709" spans="9:9" ht="32.4">
      <c r="I709" s="76"/>
    </row>
    <row r="710" spans="9:9" ht="32.4">
      <c r="I710" s="76"/>
    </row>
    <row r="711" spans="9:9" ht="32.4">
      <c r="I711" s="76"/>
    </row>
    <row r="712" spans="9:9" ht="32.4">
      <c r="I712" s="76"/>
    </row>
    <row r="713" spans="9:9" ht="32.4">
      <c r="I713" s="76"/>
    </row>
    <row r="714" spans="9:9" ht="32.4">
      <c r="I714" s="76"/>
    </row>
    <row r="715" spans="9:9" ht="32.4">
      <c r="I715" s="76"/>
    </row>
    <row r="716" spans="9:9" ht="32.4">
      <c r="I716" s="76"/>
    </row>
    <row r="717" spans="9:9" ht="32.4">
      <c r="I717" s="76"/>
    </row>
    <row r="718" spans="9:9" ht="32.4">
      <c r="I718" s="76"/>
    </row>
    <row r="719" spans="9:9" ht="32.4">
      <c r="I719" s="76"/>
    </row>
    <row r="720" spans="9:9" ht="32.4">
      <c r="I720" s="76"/>
    </row>
    <row r="721" spans="9:9" ht="32.4">
      <c r="I721" s="76"/>
    </row>
    <row r="722" spans="9:9" ht="32.4">
      <c r="I722" s="76"/>
    </row>
    <row r="723" spans="9:9" ht="32.4">
      <c r="I723" s="76"/>
    </row>
    <row r="724" spans="9:9" ht="32.4">
      <c r="I724" s="76"/>
    </row>
    <row r="725" spans="9:9" ht="32.4">
      <c r="I725" s="76"/>
    </row>
    <row r="726" spans="9:9" ht="32.4">
      <c r="I726" s="76"/>
    </row>
    <row r="727" spans="9:9" ht="32.4">
      <c r="I727" s="76"/>
    </row>
    <row r="728" spans="9:9" ht="32.4">
      <c r="I728" s="76"/>
    </row>
    <row r="729" spans="9:9" ht="32.4">
      <c r="I729" s="76"/>
    </row>
    <row r="730" spans="9:9" ht="32.4">
      <c r="I730" s="76"/>
    </row>
    <row r="731" spans="9:9" ht="32.4">
      <c r="I731" s="76"/>
    </row>
    <row r="732" spans="9:9" ht="32.4">
      <c r="I732" s="76"/>
    </row>
    <row r="733" spans="9:9" ht="32.4">
      <c r="I733" s="76"/>
    </row>
    <row r="734" spans="9:9" ht="32.4">
      <c r="I734" s="76"/>
    </row>
    <row r="735" spans="9:9" ht="32.4">
      <c r="I735" s="76"/>
    </row>
    <row r="736" spans="9:9" ht="32.4">
      <c r="I736" s="76"/>
    </row>
    <row r="737" spans="9:9" ht="32.4">
      <c r="I737" s="76"/>
    </row>
    <row r="738" spans="9:9" ht="32.4">
      <c r="I738" s="76"/>
    </row>
    <row r="739" spans="9:9" ht="32.4">
      <c r="I739" s="76"/>
    </row>
    <row r="740" spans="9:9" ht="32.4">
      <c r="I740" s="76"/>
    </row>
    <row r="741" spans="9:9" ht="32.4">
      <c r="I741" s="76"/>
    </row>
    <row r="742" spans="9:9" ht="32.4">
      <c r="I742" s="76"/>
    </row>
    <row r="743" spans="9:9" ht="32.4">
      <c r="I743" s="76"/>
    </row>
    <row r="744" spans="9:9" ht="32.4">
      <c r="I744" s="76"/>
    </row>
    <row r="745" spans="9:9" ht="32.4">
      <c r="I745" s="76"/>
    </row>
    <row r="746" spans="9:9" ht="32.4">
      <c r="I746" s="76"/>
    </row>
    <row r="747" spans="9:9" ht="32.4">
      <c r="I747" s="76"/>
    </row>
    <row r="748" spans="9:9" ht="32.4">
      <c r="I748" s="76"/>
    </row>
    <row r="749" spans="9:9" ht="32.4">
      <c r="I749" s="76"/>
    </row>
    <row r="750" spans="9:9" ht="32.4">
      <c r="I750" s="76"/>
    </row>
    <row r="751" spans="9:9" ht="32.4">
      <c r="I751" s="76"/>
    </row>
    <row r="752" spans="9:9" ht="32.4">
      <c r="I752" s="76"/>
    </row>
    <row r="753" spans="9:9" ht="32.4">
      <c r="I753" s="76"/>
    </row>
    <row r="754" spans="9:9" ht="32.4">
      <c r="I754" s="76"/>
    </row>
    <row r="755" spans="9:9" ht="32.4">
      <c r="I755" s="76"/>
    </row>
    <row r="756" spans="9:9" ht="32.4">
      <c r="I756" s="76"/>
    </row>
    <row r="757" spans="9:9" ht="32.4">
      <c r="I757" s="76"/>
    </row>
    <row r="758" spans="9:9" ht="32.4">
      <c r="I758" s="76"/>
    </row>
    <row r="759" spans="9:9" ht="32.4">
      <c r="I759" s="76"/>
    </row>
    <row r="760" spans="9:9" ht="32.4">
      <c r="I760" s="76"/>
    </row>
    <row r="761" spans="9:9" ht="32.4">
      <c r="I761" s="76"/>
    </row>
    <row r="762" spans="9:9" ht="32.4">
      <c r="I762" s="76"/>
    </row>
    <row r="763" spans="9:9" ht="32.4">
      <c r="I763" s="76"/>
    </row>
    <row r="764" spans="9:9" ht="32.4">
      <c r="I764" s="76"/>
    </row>
    <row r="765" spans="9:9" ht="32.4">
      <c r="I765" s="76"/>
    </row>
    <row r="766" spans="9:9" ht="32.4">
      <c r="I766" s="76"/>
    </row>
    <row r="767" spans="9:9" ht="32.4">
      <c r="I767" s="76"/>
    </row>
    <row r="768" spans="9:9" ht="32.4">
      <c r="I768" s="76"/>
    </row>
    <row r="769" spans="9:9" ht="32.4">
      <c r="I769" s="76"/>
    </row>
    <row r="770" spans="9:9" ht="32.4">
      <c r="I770" s="76"/>
    </row>
    <row r="771" spans="9:9" ht="32.4">
      <c r="I771" s="76"/>
    </row>
    <row r="772" spans="9:9" ht="32.4">
      <c r="I772" s="76"/>
    </row>
    <row r="773" spans="9:9" ht="32.4">
      <c r="I773" s="76"/>
    </row>
    <row r="774" spans="9:9" ht="32.4">
      <c r="I774" s="76"/>
    </row>
    <row r="775" spans="9:9" ht="32.4">
      <c r="I775" s="76"/>
    </row>
    <row r="776" spans="9:9" ht="32.4">
      <c r="I776" s="76"/>
    </row>
    <row r="777" spans="9:9" ht="32.4">
      <c r="I777" s="76"/>
    </row>
    <row r="778" spans="9:9" ht="32.4">
      <c r="I778" s="76"/>
    </row>
    <row r="779" spans="9:9" ht="32.4">
      <c r="I779" s="76"/>
    </row>
    <row r="780" spans="9:9" ht="32.4">
      <c r="I780" s="76"/>
    </row>
    <row r="781" spans="9:9" ht="32.4">
      <c r="I781" s="76"/>
    </row>
    <row r="782" spans="9:9" ht="32.4">
      <c r="I782" s="76"/>
    </row>
    <row r="783" spans="9:9" ht="32.4">
      <c r="I783" s="76"/>
    </row>
    <row r="784" spans="9:9" ht="32.4">
      <c r="I784" s="76"/>
    </row>
    <row r="785" spans="9:9" ht="32.4">
      <c r="I785" s="76"/>
    </row>
    <row r="786" spans="9:9" ht="32.4">
      <c r="I786" s="76"/>
    </row>
    <row r="787" spans="9:9" ht="32.4">
      <c r="I787" s="76"/>
    </row>
    <row r="788" spans="9:9" ht="32.4">
      <c r="I788" s="76"/>
    </row>
    <row r="789" spans="9:9" ht="32.4">
      <c r="I789" s="76"/>
    </row>
    <row r="790" spans="9:9" ht="32.4">
      <c r="I790" s="76"/>
    </row>
    <row r="791" spans="9:9" ht="32.4">
      <c r="I791" s="76"/>
    </row>
    <row r="792" spans="9:9" ht="32.4">
      <c r="I792" s="76"/>
    </row>
    <row r="793" spans="9:9" ht="32.4">
      <c r="I793" s="76"/>
    </row>
    <row r="794" spans="9:9" ht="32.4">
      <c r="I794" s="76"/>
    </row>
    <row r="795" spans="9:9" ht="32.4">
      <c r="I795" s="76"/>
    </row>
    <row r="796" spans="9:9" ht="32.4">
      <c r="I796" s="76"/>
    </row>
    <row r="797" spans="9:9" ht="32.4">
      <c r="I797" s="76"/>
    </row>
    <row r="798" spans="9:9" ht="32.4">
      <c r="I798" s="76"/>
    </row>
    <row r="799" spans="9:9" ht="32.4">
      <c r="I799" s="76"/>
    </row>
    <row r="800" spans="9:9" ht="32.4">
      <c r="I800" s="76"/>
    </row>
    <row r="801" spans="9:9" ht="32.4">
      <c r="I801" s="76"/>
    </row>
    <row r="802" spans="9:9" ht="32.4">
      <c r="I802" s="76"/>
    </row>
    <row r="803" spans="9:9" ht="32.4">
      <c r="I803" s="76"/>
    </row>
    <row r="804" spans="9:9" ht="32.4">
      <c r="I804" s="76"/>
    </row>
    <row r="805" spans="9:9" ht="32.4">
      <c r="I805" s="76"/>
    </row>
    <row r="806" spans="9:9" ht="32.4">
      <c r="I806" s="76"/>
    </row>
    <row r="807" spans="9:9" ht="32.4">
      <c r="I807" s="76"/>
    </row>
    <row r="808" spans="9:9" ht="32.4">
      <c r="I808" s="76"/>
    </row>
    <row r="809" spans="9:9" ht="32.4">
      <c r="I809" s="76"/>
    </row>
    <row r="810" spans="9:9" ht="32.4">
      <c r="I810" s="76"/>
    </row>
    <row r="811" spans="9:9" ht="32.4">
      <c r="I811" s="76"/>
    </row>
    <row r="812" spans="9:9" ht="32.4">
      <c r="I812" s="76"/>
    </row>
    <row r="813" spans="9:9" ht="32.4">
      <c r="I813" s="76"/>
    </row>
    <row r="814" spans="9:9" ht="32.4">
      <c r="I814" s="76"/>
    </row>
    <row r="815" spans="9:9" ht="32.4">
      <c r="I815" s="76"/>
    </row>
    <row r="816" spans="9:9" ht="32.4">
      <c r="I816" s="76"/>
    </row>
    <row r="817" spans="9:9" ht="32.4">
      <c r="I817" s="76"/>
    </row>
    <row r="818" spans="9:9" ht="32.4">
      <c r="I818" s="76"/>
    </row>
    <row r="819" spans="9:9" ht="32.4">
      <c r="I819" s="76"/>
    </row>
    <row r="820" spans="9:9" ht="32.4">
      <c r="I820" s="76"/>
    </row>
    <row r="821" spans="9:9" ht="32.4">
      <c r="I821" s="76"/>
    </row>
    <row r="822" spans="9:9" ht="32.4">
      <c r="I822" s="76"/>
    </row>
    <row r="823" spans="9:9" ht="32.4">
      <c r="I823" s="76"/>
    </row>
    <row r="824" spans="9:9" ht="32.4">
      <c r="I824" s="76"/>
    </row>
    <row r="825" spans="9:9" ht="32.4">
      <c r="I825" s="76"/>
    </row>
    <row r="826" spans="9:9" ht="32.4">
      <c r="I826" s="76"/>
    </row>
    <row r="827" spans="9:9" ht="32.4">
      <c r="I827" s="76"/>
    </row>
    <row r="828" spans="9:9" ht="32.4">
      <c r="I828" s="76"/>
    </row>
    <row r="829" spans="9:9" ht="32.4">
      <c r="I829" s="76"/>
    </row>
    <row r="830" spans="9:9" ht="32.4">
      <c r="I830" s="76"/>
    </row>
    <row r="831" spans="9:9" ht="32.4">
      <c r="I831" s="76"/>
    </row>
    <row r="832" spans="9:9" ht="32.4">
      <c r="I832" s="76"/>
    </row>
    <row r="833" spans="9:9" ht="32.4">
      <c r="I833" s="76"/>
    </row>
    <row r="834" spans="9:9" ht="32.4">
      <c r="I834" s="76"/>
    </row>
    <row r="835" spans="9:9" ht="32.4">
      <c r="I835" s="76"/>
    </row>
    <row r="836" spans="9:9" ht="32.4">
      <c r="I836" s="76"/>
    </row>
    <row r="837" spans="9:9" ht="32.4">
      <c r="I837" s="76"/>
    </row>
    <row r="838" spans="9:9" ht="32.4">
      <c r="I838" s="76"/>
    </row>
    <row r="839" spans="9:9" ht="32.4">
      <c r="I839" s="76"/>
    </row>
    <row r="840" spans="9:9" ht="32.4">
      <c r="I840" s="76"/>
    </row>
    <row r="841" spans="9:9" ht="32.4">
      <c r="I841" s="76"/>
    </row>
    <row r="842" spans="9:9" ht="32.4">
      <c r="I842" s="76"/>
    </row>
    <row r="843" spans="9:9" ht="32.4">
      <c r="I843" s="76"/>
    </row>
    <row r="844" spans="9:9" ht="32.4">
      <c r="I844" s="76"/>
    </row>
    <row r="845" spans="9:9" ht="32.4">
      <c r="I845" s="76"/>
    </row>
    <row r="846" spans="9:9" ht="32.4">
      <c r="I846" s="76"/>
    </row>
    <row r="847" spans="9:9" ht="32.4">
      <c r="I847" s="76"/>
    </row>
    <row r="848" spans="9:9" ht="32.4">
      <c r="I848" s="76"/>
    </row>
    <row r="849" spans="9:9" ht="32.4">
      <c r="I849" s="76"/>
    </row>
    <row r="850" spans="9:9" ht="32.4">
      <c r="I850" s="76"/>
    </row>
    <row r="851" spans="9:9" ht="32.4">
      <c r="I851" s="76"/>
    </row>
    <row r="852" spans="9:9" ht="32.4">
      <c r="I852" s="76"/>
    </row>
    <row r="853" spans="9:9" ht="32.4">
      <c r="I853" s="76"/>
    </row>
    <row r="854" spans="9:9" ht="32.4">
      <c r="I854" s="76"/>
    </row>
    <row r="855" spans="9:9" ht="32.4">
      <c r="I855" s="76"/>
    </row>
    <row r="856" spans="9:9" ht="32.4">
      <c r="I856" s="76"/>
    </row>
    <row r="857" spans="9:9" ht="32.4">
      <c r="I857" s="76"/>
    </row>
    <row r="858" spans="9:9" ht="32.4">
      <c r="I858" s="76"/>
    </row>
    <row r="859" spans="9:9" ht="32.4">
      <c r="I859" s="76"/>
    </row>
    <row r="860" spans="9:9" ht="32.4">
      <c r="I860" s="76"/>
    </row>
    <row r="861" spans="9:9" ht="32.4">
      <c r="I861" s="76"/>
    </row>
    <row r="862" spans="9:9" ht="32.4">
      <c r="I862" s="76"/>
    </row>
    <row r="863" spans="9:9" ht="32.4">
      <c r="I863" s="76"/>
    </row>
    <row r="864" spans="9:9" ht="32.4">
      <c r="I864" s="76"/>
    </row>
    <row r="865" spans="9:9" ht="32.4">
      <c r="I865" s="76"/>
    </row>
    <row r="866" spans="9:9" ht="32.4">
      <c r="I866" s="76"/>
    </row>
    <row r="867" spans="9:9" ht="32.4">
      <c r="I867" s="76"/>
    </row>
    <row r="868" spans="9:9" ht="32.4">
      <c r="I868" s="76"/>
    </row>
    <row r="869" spans="9:9" ht="32.4">
      <c r="I869" s="76"/>
    </row>
    <row r="870" spans="9:9" ht="32.4">
      <c r="I870" s="76"/>
    </row>
    <row r="871" spans="9:9" ht="32.4">
      <c r="I871" s="76"/>
    </row>
    <row r="872" spans="9:9" ht="32.4">
      <c r="I872" s="76"/>
    </row>
    <row r="873" spans="9:9" ht="32.4">
      <c r="I873" s="76"/>
    </row>
    <row r="874" spans="9:9" ht="32.4">
      <c r="I874" s="76"/>
    </row>
    <row r="875" spans="9:9" ht="32.4">
      <c r="I875" s="76"/>
    </row>
    <row r="876" spans="9:9" ht="32.4">
      <c r="I876" s="76"/>
    </row>
    <row r="877" spans="9:9" ht="32.4">
      <c r="I877" s="76"/>
    </row>
    <row r="878" spans="9:9" ht="32.4">
      <c r="I878" s="76"/>
    </row>
    <row r="879" spans="9:9" ht="32.4">
      <c r="I879" s="76"/>
    </row>
    <row r="880" spans="9:9" ht="32.4">
      <c r="I880" s="76"/>
    </row>
    <row r="881" spans="9:9" ht="32.4">
      <c r="I881" s="76"/>
    </row>
    <row r="882" spans="9:9" ht="32.4">
      <c r="I882" s="76"/>
    </row>
    <row r="883" spans="9:9" ht="32.4">
      <c r="I883" s="76"/>
    </row>
    <row r="884" spans="9:9" ht="32.4">
      <c r="I884" s="76"/>
    </row>
    <row r="885" spans="9:9" ht="32.4">
      <c r="I885" s="76"/>
    </row>
    <row r="886" spans="9:9" ht="32.4">
      <c r="I886" s="76"/>
    </row>
    <row r="887" spans="9:9" ht="32.4">
      <c r="I887" s="76"/>
    </row>
    <row r="888" spans="9:9" ht="32.4">
      <c r="I888" s="76"/>
    </row>
    <row r="889" spans="9:9" ht="32.4">
      <c r="I889" s="76"/>
    </row>
    <row r="890" spans="9:9" ht="32.4">
      <c r="I890" s="76"/>
    </row>
    <row r="891" spans="9:9" ht="32.4">
      <c r="I891" s="76"/>
    </row>
    <row r="892" spans="9:9" ht="32.4">
      <c r="I892" s="76"/>
    </row>
    <row r="893" spans="9:9" ht="32.4">
      <c r="I893" s="76"/>
    </row>
    <row r="894" spans="9:9" ht="32.4">
      <c r="I894" s="76"/>
    </row>
    <row r="895" spans="9:9" ht="32.4">
      <c r="I895" s="76"/>
    </row>
    <row r="896" spans="9:9" ht="32.4">
      <c r="I896" s="76"/>
    </row>
    <row r="897" spans="9:9" ht="32.4">
      <c r="I897" s="76"/>
    </row>
    <row r="898" spans="9:9" ht="32.4">
      <c r="I898" s="76"/>
    </row>
    <row r="899" spans="9:9" ht="32.4">
      <c r="I899" s="76"/>
    </row>
    <row r="900" spans="9:9" ht="32.4">
      <c r="I900" s="76"/>
    </row>
    <row r="901" spans="9:9" ht="32.4">
      <c r="I901" s="76"/>
    </row>
    <row r="902" spans="9:9" ht="32.4">
      <c r="I902" s="76"/>
    </row>
    <row r="903" spans="9:9" ht="32.4">
      <c r="I903" s="76"/>
    </row>
    <row r="904" spans="9:9" ht="32.4">
      <c r="I904" s="76"/>
    </row>
    <row r="905" spans="9:9" ht="32.4">
      <c r="I905" s="76"/>
    </row>
    <row r="906" spans="9:9" ht="32.4">
      <c r="I906" s="76"/>
    </row>
    <row r="907" spans="9:9" ht="32.4">
      <c r="I907" s="76"/>
    </row>
    <row r="908" spans="9:9" ht="32.4">
      <c r="I908" s="76"/>
    </row>
    <row r="909" spans="9:9" ht="32.4">
      <c r="I909" s="76"/>
    </row>
    <row r="910" spans="9:9" ht="32.4">
      <c r="I910" s="76"/>
    </row>
    <row r="911" spans="9:9" ht="32.4">
      <c r="I911" s="76"/>
    </row>
    <row r="912" spans="9:9" ht="32.4">
      <c r="I912" s="76"/>
    </row>
    <row r="913" spans="9:9" ht="32.4">
      <c r="I913" s="76"/>
    </row>
    <row r="914" spans="9:9" ht="32.4">
      <c r="I914" s="76"/>
    </row>
    <row r="915" spans="9:9" ht="32.4">
      <c r="I915" s="76"/>
    </row>
    <row r="916" spans="9:9" ht="32.4">
      <c r="I916" s="76"/>
    </row>
    <row r="917" spans="9:9" ht="32.4">
      <c r="I917" s="76"/>
    </row>
    <row r="918" spans="9:9" ht="32.4">
      <c r="I918" s="76"/>
    </row>
    <row r="919" spans="9:9" ht="32.4">
      <c r="I919" s="76"/>
    </row>
    <row r="920" spans="9:9" ht="32.4">
      <c r="I920" s="76"/>
    </row>
    <row r="921" spans="9:9" ht="32.4">
      <c r="I921" s="76"/>
    </row>
    <row r="922" spans="9:9" ht="32.4">
      <c r="I922" s="76"/>
    </row>
    <row r="923" spans="9:9" ht="32.4">
      <c r="I923" s="76"/>
    </row>
    <row r="924" spans="9:9" ht="32.4">
      <c r="I924" s="76"/>
    </row>
    <row r="925" spans="9:9" ht="32.4">
      <c r="I925" s="76"/>
    </row>
    <row r="926" spans="9:9" ht="32.4">
      <c r="I926" s="76"/>
    </row>
    <row r="927" spans="9:9" ht="32.4">
      <c r="I927" s="76"/>
    </row>
    <row r="928" spans="9:9" ht="32.4">
      <c r="I928" s="76"/>
    </row>
    <row r="929" spans="9:9" ht="32.4">
      <c r="I929" s="76"/>
    </row>
    <row r="930" spans="9:9" ht="32.4">
      <c r="I930" s="76"/>
    </row>
    <row r="931" spans="9:9" ht="32.4">
      <c r="I931" s="76"/>
    </row>
    <row r="932" spans="9:9" ht="32.4">
      <c r="I932" s="76"/>
    </row>
    <row r="933" spans="9:9" ht="32.4">
      <c r="I933" s="76"/>
    </row>
    <row r="934" spans="9:9" ht="32.4">
      <c r="I934" s="76"/>
    </row>
    <row r="935" spans="9:9" ht="32.4">
      <c r="I935" s="76"/>
    </row>
    <row r="936" spans="9:9" ht="32.4">
      <c r="I936" s="76"/>
    </row>
    <row r="937" spans="9:9" ht="32.4">
      <c r="I937" s="76"/>
    </row>
    <row r="938" spans="9:9" ht="32.4">
      <c r="I938" s="76"/>
    </row>
    <row r="939" spans="9:9" ht="32.4">
      <c r="I939" s="76"/>
    </row>
    <row r="940" spans="9:9" ht="32.4">
      <c r="I940" s="76"/>
    </row>
    <row r="941" spans="9:9" ht="32.4">
      <c r="I941" s="76"/>
    </row>
    <row r="942" spans="9:9" ht="32.4">
      <c r="I942" s="76"/>
    </row>
    <row r="943" spans="9:9" ht="32.4">
      <c r="I943" s="76"/>
    </row>
    <row r="944" spans="9:9" ht="32.4">
      <c r="I944" s="76"/>
    </row>
    <row r="945" spans="9:9" ht="32.4">
      <c r="I945" s="76"/>
    </row>
    <row r="946" spans="9:9" ht="32.4">
      <c r="I946" s="76"/>
    </row>
    <row r="947" spans="9:9" ht="32.4">
      <c r="I947" s="76"/>
    </row>
    <row r="948" spans="9:9" ht="32.4">
      <c r="I948" s="76"/>
    </row>
    <row r="949" spans="9:9" ht="32.4">
      <c r="I949" s="76"/>
    </row>
    <row r="950" spans="9:9" ht="32.4">
      <c r="I950" s="76"/>
    </row>
    <row r="951" spans="9:9" ht="32.4">
      <c r="I951" s="76"/>
    </row>
    <row r="952" spans="9:9" ht="32.4">
      <c r="I952" s="76"/>
    </row>
    <row r="953" spans="9:9" ht="32.4">
      <c r="I953" s="76"/>
    </row>
    <row r="954" spans="9:9" ht="32.4">
      <c r="I954" s="76"/>
    </row>
    <row r="955" spans="9:9" ht="32.4">
      <c r="I955" s="76"/>
    </row>
    <row r="956" spans="9:9" ht="32.4">
      <c r="I956" s="76"/>
    </row>
    <row r="957" spans="9:9" ht="32.4">
      <c r="I957" s="76"/>
    </row>
    <row r="958" spans="9:9" ht="32.4">
      <c r="I958" s="76"/>
    </row>
    <row r="959" spans="9:9" ht="32.4">
      <c r="I959" s="76"/>
    </row>
    <row r="960" spans="9:9" ht="32.4">
      <c r="I960" s="76"/>
    </row>
    <row r="961" spans="9:9" ht="32.4">
      <c r="I961" s="76"/>
    </row>
    <row r="962" spans="9:9" ht="32.4">
      <c r="I962" s="76"/>
    </row>
    <row r="963" spans="9:9" ht="32.4">
      <c r="I963" s="76"/>
    </row>
    <row r="964" spans="9:9" ht="32.4">
      <c r="I964" s="76"/>
    </row>
    <row r="965" spans="9:9" ht="32.4">
      <c r="I965" s="76"/>
    </row>
    <row r="966" spans="9:9" ht="32.4">
      <c r="I966" s="76"/>
    </row>
    <row r="967" spans="9:9" ht="32.4">
      <c r="I967" s="76"/>
    </row>
    <row r="968" spans="9:9" ht="32.4">
      <c r="I968" s="76"/>
    </row>
    <row r="969" spans="9:9" ht="32.4">
      <c r="I969" s="76"/>
    </row>
    <row r="970" spans="9:9" ht="32.4">
      <c r="I970" s="76"/>
    </row>
    <row r="971" spans="9:9" ht="32.4">
      <c r="I971" s="76"/>
    </row>
    <row r="972" spans="9:9" ht="32.4">
      <c r="I972" s="76"/>
    </row>
    <row r="973" spans="9:9" ht="32.4">
      <c r="I973" s="76"/>
    </row>
    <row r="974" spans="9:9" ht="32.4">
      <c r="I974" s="76"/>
    </row>
    <row r="975" spans="9:9" ht="32.4">
      <c r="I975" s="76"/>
    </row>
    <row r="976" spans="9:9" ht="32.4">
      <c r="I976" s="76"/>
    </row>
    <row r="977" spans="9:9" ht="32.4">
      <c r="I977" s="76"/>
    </row>
    <row r="978" spans="9:9" ht="32.4">
      <c r="I978" s="76"/>
    </row>
    <row r="979" spans="9:9" ht="32.4">
      <c r="I979" s="76"/>
    </row>
    <row r="980" spans="9:9" ht="32.4">
      <c r="I980" s="76"/>
    </row>
    <row r="981" spans="9:9" ht="32.4">
      <c r="I981" s="76"/>
    </row>
    <row r="982" spans="9:9" ht="32.4">
      <c r="I982" s="76"/>
    </row>
    <row r="983" spans="9:9" ht="32.4">
      <c r="I983" s="76"/>
    </row>
    <row r="984" spans="9:9" ht="32.4">
      <c r="I984" s="76"/>
    </row>
    <row r="985" spans="9:9" ht="32.4">
      <c r="I985" s="76"/>
    </row>
    <row r="986" spans="9:9" ht="32.4">
      <c r="I986" s="76"/>
    </row>
    <row r="987" spans="9:9" ht="32.4">
      <c r="I987" s="76"/>
    </row>
    <row r="988" spans="9:9" ht="32.4">
      <c r="I988" s="76"/>
    </row>
    <row r="989" spans="9:9" ht="32.4">
      <c r="I989" s="76"/>
    </row>
    <row r="990" spans="9:9" ht="32.4">
      <c r="I990" s="76"/>
    </row>
    <row r="991" spans="9:9" ht="32.4">
      <c r="I991" s="76"/>
    </row>
    <row r="992" spans="9:9" ht="32.4">
      <c r="I992" s="76"/>
    </row>
    <row r="993" spans="9:9" ht="32.4">
      <c r="I993" s="76"/>
    </row>
    <row r="994" spans="9:9" ht="32.4">
      <c r="I994" s="76"/>
    </row>
    <row r="995" spans="9:9" ht="32.4">
      <c r="I995" s="76"/>
    </row>
    <row r="996" spans="9:9" ht="32.4">
      <c r="I996" s="76"/>
    </row>
    <row r="997" spans="9:9" ht="32.4">
      <c r="I997" s="76"/>
    </row>
    <row r="998" spans="9:9" ht="32.4">
      <c r="I998" s="76"/>
    </row>
    <row r="999" spans="9:9" ht="32.4">
      <c r="I999" s="76"/>
    </row>
    <row r="1000" spans="9:9" ht="32.4">
      <c r="I1000" s="76"/>
    </row>
    <row r="1001" spans="9:9" ht="32.4">
      <c r="I1001" s="76"/>
    </row>
    <row r="1002" spans="9:9" ht="32.4">
      <c r="I1002" s="76"/>
    </row>
    <row r="1003" spans="9:9" ht="32.4">
      <c r="I1003" s="76"/>
    </row>
    <row r="1004" spans="9:9" ht="32.4">
      <c r="I1004" s="76"/>
    </row>
    <row r="1005" spans="9:9" ht="32.4">
      <c r="I1005" s="76"/>
    </row>
    <row r="1006" spans="9:9" ht="32.4">
      <c r="I1006" s="76"/>
    </row>
    <row r="1007" spans="9:9" ht="32.4">
      <c r="I1007" s="76"/>
    </row>
    <row r="1008" spans="9:9" ht="32.4">
      <c r="I1008" s="76"/>
    </row>
    <row r="1009" spans="9:9" ht="32.4">
      <c r="I1009" s="76"/>
    </row>
    <row r="1010" spans="9:9" ht="32.4">
      <c r="I1010" s="76"/>
    </row>
    <row r="1011" spans="9:9" ht="32.4">
      <c r="I1011" s="76"/>
    </row>
    <row r="1012" spans="9:9" ht="32.4">
      <c r="I1012" s="76"/>
    </row>
    <row r="1013" spans="9:9" ht="32.4">
      <c r="I1013" s="76"/>
    </row>
    <row r="1014" spans="9:9" ht="32.4">
      <c r="I1014" s="76"/>
    </row>
    <row r="1015" spans="9:9" ht="32.4">
      <c r="I1015" s="76"/>
    </row>
    <row r="1016" spans="9:9" ht="32.4">
      <c r="I1016" s="76"/>
    </row>
    <row r="1017" spans="9:9" ht="32.4">
      <c r="I1017" s="76"/>
    </row>
    <row r="1018" spans="9:9" ht="32.4">
      <c r="I1018" s="76"/>
    </row>
    <row r="1019" spans="9:9" ht="32.4">
      <c r="I1019" s="76"/>
    </row>
    <row r="1020" spans="9:9" ht="32.4">
      <c r="I1020" s="76"/>
    </row>
    <row r="1021" spans="9:9" ht="32.4">
      <c r="I1021" s="76"/>
    </row>
    <row r="1022" spans="9:9" ht="32.4">
      <c r="I1022" s="76"/>
    </row>
    <row r="1023" spans="9:9" ht="32.4">
      <c r="I1023" s="76"/>
    </row>
    <row r="1024" spans="9:9" ht="32.4">
      <c r="I1024" s="76"/>
    </row>
    <row r="1025" spans="9:9" ht="32.4">
      <c r="I1025" s="76"/>
    </row>
    <row r="1026" spans="9:9" ht="32.4">
      <c r="I1026" s="76"/>
    </row>
    <row r="1027" spans="9:9" ht="32.4">
      <c r="I1027" s="76"/>
    </row>
    <row r="1028" spans="9:9" ht="32.4">
      <c r="I1028" s="76"/>
    </row>
    <row r="1029" spans="9:9" ht="32.4">
      <c r="I1029" s="76"/>
    </row>
    <row r="1030" spans="9:9" ht="32.4">
      <c r="I1030" s="76"/>
    </row>
    <row r="1031" spans="9:9" ht="32.4">
      <c r="I1031" s="76"/>
    </row>
    <row r="1032" spans="9:9" ht="32.4">
      <c r="I1032" s="76"/>
    </row>
    <row r="1033" spans="9:9" ht="32.4">
      <c r="I1033" s="76"/>
    </row>
    <row r="1034" spans="9:9" ht="32.4">
      <c r="I1034" s="76"/>
    </row>
    <row r="1035" spans="9:9" ht="32.4">
      <c r="I1035" s="76"/>
    </row>
    <row r="1036" spans="9:9" ht="32.4">
      <c r="I1036" s="76"/>
    </row>
    <row r="1037" spans="9:9" ht="32.4">
      <c r="I1037" s="76"/>
    </row>
    <row r="1038" spans="9:9" ht="32.4">
      <c r="I1038" s="76"/>
    </row>
    <row r="1039" spans="9:9" ht="32.4">
      <c r="I1039" s="76"/>
    </row>
    <row r="1040" spans="9:9" ht="32.4">
      <c r="I1040" s="76"/>
    </row>
    <row r="1041" spans="9:9" ht="32.4">
      <c r="I1041" s="76"/>
    </row>
    <row r="1042" spans="9:9" ht="32.4">
      <c r="I1042" s="76"/>
    </row>
    <row r="1043" spans="9:9" ht="32.4">
      <c r="I1043" s="76"/>
    </row>
    <row r="1044" spans="9:9" ht="32.4">
      <c r="I1044" s="76"/>
    </row>
    <row r="1045" spans="9:9" ht="32.4">
      <c r="I1045" s="76"/>
    </row>
    <row r="1046" spans="9:9" ht="32.4">
      <c r="I1046" s="76"/>
    </row>
    <row r="1047" spans="9:9" ht="32.4">
      <c r="I1047" s="76"/>
    </row>
    <row r="1048" spans="9:9" ht="32.4">
      <c r="I1048" s="76"/>
    </row>
    <row r="1049" spans="9:9" ht="32.4">
      <c r="I1049" s="76"/>
    </row>
    <row r="1050" spans="9:9" ht="32.4">
      <c r="I1050" s="76"/>
    </row>
    <row r="1051" spans="9:9" ht="32.4">
      <c r="I1051" s="76"/>
    </row>
    <row r="1052" spans="9:9" ht="32.4">
      <c r="I1052" s="76"/>
    </row>
    <row r="1053" spans="9:9" ht="32.4">
      <c r="I1053" s="76"/>
    </row>
    <row r="1054" spans="9:9" ht="32.4">
      <c r="I1054" s="76"/>
    </row>
    <row r="1055" spans="9:9" ht="32.4">
      <c r="I1055" s="76"/>
    </row>
    <row r="1056" spans="9:9" ht="32.4">
      <c r="I1056" s="76"/>
    </row>
    <row r="1057" spans="9:9" ht="32.4">
      <c r="I1057" s="76"/>
    </row>
    <row r="1058" spans="9:9" ht="32.4">
      <c r="I1058" s="76"/>
    </row>
    <row r="1059" spans="9:9" ht="32.4">
      <c r="I1059" s="76"/>
    </row>
    <row r="1060" spans="9:9" ht="32.4">
      <c r="I1060" s="76"/>
    </row>
    <row r="1061" spans="9:9" ht="32.4">
      <c r="I1061" s="76"/>
    </row>
    <row r="1062" spans="9:9" ht="32.4">
      <c r="I1062" s="76"/>
    </row>
    <row r="1063" spans="9:9" ht="32.4">
      <c r="I1063" s="76"/>
    </row>
    <row r="1064" spans="9:9" ht="32.4">
      <c r="I1064" s="76"/>
    </row>
    <row r="1065" spans="9:9" ht="32.4">
      <c r="I1065" s="76"/>
    </row>
    <row r="1066" spans="9:9" ht="32.4">
      <c r="I1066" s="76"/>
    </row>
    <row r="1067" spans="9:9" ht="32.4">
      <c r="I1067" s="76"/>
    </row>
    <row r="1068" spans="9:9" ht="32.4">
      <c r="I1068" s="76"/>
    </row>
    <row r="1069" spans="9:9" ht="32.4">
      <c r="I1069" s="76"/>
    </row>
    <row r="1070" spans="9:9" ht="32.4">
      <c r="I1070" s="76"/>
    </row>
    <row r="1071" spans="9:9" ht="32.4">
      <c r="I1071" s="76"/>
    </row>
    <row r="1072" spans="9:9" ht="32.4">
      <c r="I1072" s="76"/>
    </row>
    <row r="1073" spans="9:9" ht="32.4">
      <c r="I1073" s="76"/>
    </row>
    <row r="1074" spans="9:9" ht="32.4">
      <c r="I1074" s="76"/>
    </row>
    <row r="1075" spans="9:9" ht="32.4">
      <c r="I1075" s="76"/>
    </row>
    <row r="1076" spans="9:9" ht="32.4">
      <c r="I1076" s="76"/>
    </row>
    <row r="1077" spans="9:9" ht="32.4">
      <c r="I1077" s="76"/>
    </row>
    <row r="1078" spans="9:9" ht="32.4">
      <c r="I1078" s="76"/>
    </row>
    <row r="1079" spans="9:9" ht="32.4">
      <c r="I1079" s="76"/>
    </row>
    <row r="1080" spans="9:9" ht="32.4">
      <c r="I1080" s="76"/>
    </row>
    <row r="1081" spans="9:9" ht="32.4">
      <c r="I1081" s="76"/>
    </row>
    <row r="1082" spans="9:9" ht="32.4">
      <c r="I1082" s="76"/>
    </row>
    <row r="1083" spans="9:9" ht="32.4">
      <c r="I1083" s="76"/>
    </row>
    <row r="1084" spans="9:9" ht="32.4">
      <c r="I1084" s="76"/>
    </row>
    <row r="1085" spans="9:9" ht="32.4">
      <c r="I1085" s="76"/>
    </row>
    <row r="1086" spans="9:9" ht="32.4">
      <c r="I1086" s="76"/>
    </row>
    <row r="1087" spans="9:9" ht="32.4">
      <c r="I1087" s="76"/>
    </row>
    <row r="1088" spans="9:9" ht="32.4">
      <c r="I1088" s="76"/>
    </row>
    <row r="1089" spans="9:9" ht="32.4">
      <c r="I1089" s="76"/>
    </row>
    <row r="1090" spans="9:9" ht="32.4">
      <c r="I1090" s="76"/>
    </row>
    <row r="1091" spans="9:9" ht="32.4">
      <c r="I1091" s="76"/>
    </row>
    <row r="1092" spans="9:9" ht="32.4">
      <c r="I1092" s="76"/>
    </row>
    <row r="1093" spans="9:9" ht="32.4">
      <c r="I1093" s="76"/>
    </row>
    <row r="1094" spans="9:9" ht="32.4">
      <c r="I1094" s="76"/>
    </row>
    <row r="1095" spans="9:9" ht="32.4">
      <c r="I1095" s="76"/>
    </row>
    <row r="1096" spans="9:9" ht="32.4">
      <c r="I1096" s="76"/>
    </row>
    <row r="1097" spans="9:9" ht="32.4">
      <c r="I1097" s="76"/>
    </row>
    <row r="1098" spans="9:9" ht="32.4">
      <c r="I1098" s="76"/>
    </row>
    <row r="1099" spans="9:9" ht="32.4">
      <c r="I1099" s="76"/>
    </row>
    <row r="1100" spans="9:9" ht="32.4">
      <c r="I1100" s="76"/>
    </row>
    <row r="1101" spans="9:9" ht="32.4">
      <c r="I1101" s="76"/>
    </row>
    <row r="1102" spans="9:9" ht="32.4">
      <c r="I1102" s="76"/>
    </row>
    <row r="1103" spans="9:9" ht="32.4">
      <c r="I1103" s="76"/>
    </row>
    <row r="1104" spans="9:9" ht="32.4">
      <c r="I1104" s="76"/>
    </row>
    <row r="1105" spans="9:9" ht="32.4">
      <c r="I1105" s="76"/>
    </row>
    <row r="1106" spans="9:9" ht="32.4">
      <c r="I1106" s="76"/>
    </row>
    <row r="1107" spans="9:9" ht="32.4">
      <c r="I1107" s="76"/>
    </row>
    <row r="1108" spans="9:9" ht="32.4">
      <c r="I1108" s="76"/>
    </row>
    <row r="1109" spans="9:9" ht="32.4">
      <c r="I1109" s="76"/>
    </row>
    <row r="1110" spans="9:9" ht="32.4">
      <c r="I1110" s="76"/>
    </row>
    <row r="1111" spans="9:9" ht="32.4">
      <c r="I1111" s="76"/>
    </row>
    <row r="1112" spans="9:9" ht="32.4">
      <c r="I1112" s="76"/>
    </row>
    <row r="1113" spans="9:9" ht="32.4">
      <c r="I1113" s="76"/>
    </row>
    <row r="1114" spans="9:9" ht="32.4">
      <c r="I1114" s="76"/>
    </row>
    <row r="1115" spans="9:9" ht="32.4">
      <c r="I1115" s="76"/>
    </row>
    <row r="1116" spans="9:9" ht="32.4">
      <c r="I1116" s="76"/>
    </row>
    <row r="1117" spans="9:9" ht="32.4">
      <c r="I1117" s="76"/>
    </row>
    <row r="1118" spans="9:9" ht="32.4">
      <c r="I1118" s="76"/>
    </row>
    <row r="1119" spans="9:9" ht="32.4">
      <c r="I1119" s="76"/>
    </row>
    <row r="1120" spans="9:9" ht="32.4">
      <c r="I1120" s="76"/>
    </row>
    <row r="1121" spans="9:9" ht="32.4">
      <c r="I1121" s="76"/>
    </row>
    <row r="1122" spans="9:9" ht="32.4">
      <c r="I1122" s="76"/>
    </row>
    <row r="1123" spans="9:9" ht="32.4">
      <c r="I1123" s="76"/>
    </row>
    <row r="1124" spans="9:9" ht="32.4">
      <c r="I1124" s="76"/>
    </row>
    <row r="1125" spans="9:9" ht="32.4">
      <c r="I1125" s="76"/>
    </row>
    <row r="1126" spans="9:9" ht="32.4">
      <c r="I1126" s="76"/>
    </row>
    <row r="1127" spans="9:9" ht="32.4">
      <c r="I1127" s="76"/>
    </row>
    <row r="1128" spans="9:9" ht="32.4">
      <c r="I1128" s="76"/>
    </row>
    <row r="1129" spans="9:9" ht="32.4">
      <c r="I1129" s="76"/>
    </row>
    <row r="1130" spans="9:9" ht="32.4">
      <c r="I1130" s="76"/>
    </row>
    <row r="1131" spans="9:9" ht="32.4">
      <c r="I1131" s="76"/>
    </row>
    <row r="1132" spans="9:9" ht="32.4">
      <c r="I1132" s="76"/>
    </row>
    <row r="1133" spans="9:9" ht="32.4">
      <c r="I1133" s="76"/>
    </row>
    <row r="1134" spans="9:9" ht="32.4">
      <c r="I1134" s="76"/>
    </row>
    <row r="1135" spans="9:9" ht="32.4">
      <c r="I1135" s="76"/>
    </row>
    <row r="1136" spans="9:9" ht="32.4">
      <c r="I1136" s="76"/>
    </row>
    <row r="1137" spans="9:9" ht="32.4">
      <c r="I1137" s="76"/>
    </row>
    <row r="1138" spans="9:9" ht="32.4">
      <c r="I1138" s="76"/>
    </row>
    <row r="1139" spans="9:9" ht="32.4">
      <c r="I1139" s="76"/>
    </row>
    <row r="1140" spans="9:9" ht="32.4">
      <c r="I1140" s="76"/>
    </row>
    <row r="1141" spans="9:9" ht="32.4">
      <c r="I1141" s="76"/>
    </row>
    <row r="1142" spans="9:9" ht="32.4">
      <c r="I1142" s="76"/>
    </row>
    <row r="1143" spans="9:9" ht="32.4">
      <c r="I1143" s="76"/>
    </row>
    <row r="1144" spans="9:9" ht="32.4">
      <c r="I1144" s="76"/>
    </row>
    <row r="1145" spans="9:9" ht="32.4">
      <c r="I1145" s="76"/>
    </row>
    <row r="1146" spans="9:9" ht="32.4">
      <c r="I1146" s="76"/>
    </row>
    <row r="1147" spans="9:9" ht="32.4">
      <c r="I1147" s="76"/>
    </row>
    <row r="1148" spans="9:9" ht="32.4">
      <c r="I1148" s="76"/>
    </row>
    <row r="1149" spans="9:9" ht="32.4">
      <c r="I1149" s="76"/>
    </row>
    <row r="1150" spans="9:9" ht="32.4">
      <c r="I1150" s="76"/>
    </row>
    <row r="1151" spans="9:9" ht="32.4">
      <c r="I1151" s="76"/>
    </row>
    <row r="1152" spans="9:9" ht="32.4">
      <c r="I1152" s="76"/>
    </row>
    <row r="1153" spans="9:9" ht="32.4">
      <c r="I1153" s="76"/>
    </row>
    <row r="1154" spans="9:9" ht="32.4">
      <c r="I1154" s="76"/>
    </row>
    <row r="1155" spans="9:9" ht="32.4">
      <c r="I1155" s="76"/>
    </row>
    <row r="1156" spans="9:9" ht="32.4">
      <c r="I1156" s="76"/>
    </row>
    <row r="1157" spans="9:9" ht="32.4">
      <c r="I1157" s="76"/>
    </row>
    <row r="1158" spans="9:9" ht="32.4">
      <c r="I1158" s="76"/>
    </row>
    <row r="1159" spans="9:9" ht="32.4">
      <c r="I1159" s="76"/>
    </row>
    <row r="1160" spans="9:9" ht="32.4">
      <c r="I1160" s="76"/>
    </row>
    <row r="1161" spans="9:9" ht="32.4">
      <c r="I1161" s="76"/>
    </row>
    <row r="1162" spans="9:9" ht="32.4">
      <c r="I1162" s="76"/>
    </row>
    <row r="1163" spans="9:9" ht="32.4">
      <c r="I1163" s="76"/>
    </row>
    <row r="1164" spans="9:9" ht="32.4">
      <c r="I1164" s="76"/>
    </row>
    <row r="1165" spans="9:9" ht="32.4">
      <c r="I1165" s="76"/>
    </row>
    <row r="1166" spans="9:9" ht="32.4">
      <c r="I1166" s="76"/>
    </row>
    <row r="1167" spans="9:9" ht="32.4">
      <c r="I1167" s="76"/>
    </row>
    <row r="1168" spans="9:9" ht="32.4">
      <c r="I1168" s="76"/>
    </row>
    <row r="1169" spans="9:9" ht="32.4">
      <c r="I1169" s="76"/>
    </row>
    <row r="1170" spans="9:9" ht="32.4">
      <c r="I1170" s="76"/>
    </row>
    <row r="1171" spans="9:9" ht="32.4">
      <c r="I1171" s="76"/>
    </row>
    <row r="1172" spans="9:9" ht="32.4">
      <c r="I1172" s="76"/>
    </row>
    <row r="1173" spans="9:9" ht="32.4">
      <c r="I1173" s="76"/>
    </row>
    <row r="1174" spans="9:9" ht="32.4">
      <c r="I1174" s="76"/>
    </row>
    <row r="1175" spans="9:9" ht="32.4">
      <c r="I1175" s="76"/>
    </row>
    <row r="1176" spans="9:9" ht="32.4">
      <c r="I1176" s="76"/>
    </row>
    <row r="1177" spans="9:9" ht="32.4">
      <c r="I1177" s="76"/>
    </row>
    <row r="1178" spans="9:9" ht="32.4">
      <c r="I1178" s="76"/>
    </row>
    <row r="1179" spans="9:9" ht="32.4">
      <c r="I1179" s="76"/>
    </row>
    <row r="1180" spans="9:9" ht="32.4">
      <c r="I1180" s="76"/>
    </row>
    <row r="1181" spans="9:9" ht="32.4">
      <c r="I1181" s="76"/>
    </row>
    <row r="1182" spans="9:9" ht="32.4">
      <c r="I1182" s="76"/>
    </row>
    <row r="1183" spans="9:9" ht="32.4">
      <c r="I1183" s="76"/>
    </row>
    <row r="1184" spans="9:9" ht="32.4">
      <c r="I1184" s="76"/>
    </row>
    <row r="1185" spans="9:9" ht="32.4">
      <c r="I1185" s="76"/>
    </row>
    <row r="1186" spans="9:9" ht="32.4">
      <c r="I1186" s="76"/>
    </row>
    <row r="1187" spans="9:9" ht="32.4">
      <c r="I1187" s="76"/>
    </row>
    <row r="1188" spans="9:9" ht="32.4">
      <c r="I1188" s="76"/>
    </row>
    <row r="1189" spans="9:9" ht="32.4">
      <c r="I1189" s="76"/>
    </row>
    <row r="1190" spans="9:9" ht="32.4">
      <c r="I1190" s="76"/>
    </row>
    <row r="1191" spans="9:9" ht="32.4">
      <c r="I1191" s="76"/>
    </row>
    <row r="1192" spans="9:9" ht="32.4">
      <c r="I1192" s="76"/>
    </row>
    <row r="1193" spans="9:9" ht="32.4">
      <c r="I1193" s="76"/>
    </row>
    <row r="1194" spans="9:9" ht="32.4">
      <c r="I1194" s="76"/>
    </row>
    <row r="1195" spans="9:9" ht="32.4">
      <c r="I1195" s="76"/>
    </row>
    <row r="1196" spans="9:9" ht="32.4">
      <c r="I1196" s="76"/>
    </row>
    <row r="1197" spans="9:9" ht="32.4">
      <c r="I1197" s="76"/>
    </row>
    <row r="1198" spans="9:9" ht="32.4">
      <c r="I1198" s="76"/>
    </row>
    <row r="1199" spans="9:9" ht="32.4">
      <c r="I1199" s="76"/>
    </row>
    <row r="1200" spans="9:9" ht="32.4">
      <c r="I1200" s="76"/>
    </row>
    <row r="1201" spans="9:9" ht="32.4">
      <c r="I1201" s="76"/>
    </row>
    <row r="1202" spans="9:9" ht="32.4">
      <c r="I1202" s="76"/>
    </row>
    <row r="1203" spans="9:9" ht="32.4">
      <c r="I1203" s="76"/>
    </row>
    <row r="1204" spans="9:9" ht="32.4">
      <c r="I1204" s="76"/>
    </row>
    <row r="1205" spans="9:9" ht="32.4">
      <c r="I1205" s="76"/>
    </row>
    <row r="1206" spans="9:9" ht="32.4">
      <c r="I1206" s="76"/>
    </row>
    <row r="1207" spans="9:9" ht="32.4">
      <c r="I1207" s="76"/>
    </row>
    <row r="1208" spans="9:9" ht="32.4">
      <c r="I1208" s="76"/>
    </row>
    <row r="1209" spans="9:9" ht="32.4">
      <c r="I1209" s="76"/>
    </row>
    <row r="1210" spans="9:9" ht="32.4">
      <c r="I1210" s="76"/>
    </row>
    <row r="1211" spans="9:9" ht="32.4">
      <c r="I1211" s="76"/>
    </row>
    <row r="1212" spans="9:9" ht="32.4">
      <c r="I1212" s="76"/>
    </row>
    <row r="1213" spans="9:9" ht="32.4">
      <c r="I1213" s="76"/>
    </row>
    <row r="1214" spans="9:9" ht="32.4">
      <c r="I1214" s="76"/>
    </row>
    <row r="1215" spans="9:9" ht="32.4">
      <c r="I1215" s="76"/>
    </row>
    <row r="1216" spans="9:9" ht="32.4">
      <c r="I1216" s="76"/>
    </row>
    <row r="1217" spans="9:9" ht="32.4">
      <c r="I1217" s="76"/>
    </row>
    <row r="1218" spans="9:9" ht="32.4">
      <c r="I1218" s="76"/>
    </row>
    <row r="1219" spans="9:9" ht="32.4">
      <c r="I1219" s="76"/>
    </row>
    <row r="1220" spans="9:9" ht="32.4">
      <c r="I1220" s="76"/>
    </row>
    <row r="1221" spans="9:9" ht="32.4">
      <c r="I1221" s="76"/>
    </row>
    <row r="1222" spans="9:9" ht="32.4">
      <c r="I1222" s="76"/>
    </row>
    <row r="1223" spans="9:9" ht="32.4">
      <c r="I1223" s="76"/>
    </row>
    <row r="1224" spans="9:9" ht="32.4">
      <c r="I1224" s="76"/>
    </row>
    <row r="1225" spans="9:9" ht="32.4">
      <c r="I1225" s="76"/>
    </row>
    <row r="1226" spans="9:9" ht="32.4">
      <c r="I1226" s="76"/>
    </row>
    <row r="1227" spans="9:9" ht="32.4">
      <c r="I1227" s="76"/>
    </row>
    <row r="1228" spans="9:9" ht="32.4">
      <c r="I1228" s="76"/>
    </row>
    <row r="1229" spans="9:9" ht="32.4">
      <c r="I1229" s="76"/>
    </row>
    <row r="1230" spans="9:9" ht="32.4">
      <c r="I1230" s="76"/>
    </row>
    <row r="1231" spans="9:9" ht="32.4">
      <c r="I1231" s="76"/>
    </row>
    <row r="1232" spans="9:9" ht="32.4">
      <c r="I1232" s="76"/>
    </row>
    <row r="1233" spans="9:9" ht="32.4">
      <c r="I1233" s="76"/>
    </row>
    <row r="1234" spans="9:9" ht="32.4">
      <c r="I1234" s="76"/>
    </row>
    <row r="1235" spans="9:9" ht="32.4">
      <c r="I1235" s="76"/>
    </row>
    <row r="1236" spans="9:9" ht="32.4">
      <c r="I1236" s="76"/>
    </row>
    <row r="1237" spans="9:9" ht="32.4">
      <c r="I1237" s="76"/>
    </row>
    <row r="1238" spans="9:9" ht="32.4">
      <c r="I1238" s="76"/>
    </row>
    <row r="1239" spans="9:9" ht="32.4">
      <c r="I1239" s="76"/>
    </row>
    <row r="1240" spans="9:9" ht="32.4">
      <c r="I1240" s="76"/>
    </row>
    <row r="1241" spans="9:9" ht="32.4">
      <c r="I1241" s="76"/>
    </row>
    <row r="1242" spans="9:9" ht="32.4">
      <c r="I1242" s="76"/>
    </row>
    <row r="1243" spans="9:9" ht="32.4">
      <c r="I1243" s="76"/>
    </row>
    <row r="1244" spans="9:9" ht="32.4">
      <c r="I1244" s="76"/>
    </row>
    <row r="1245" spans="9:9" ht="32.4">
      <c r="I1245" s="76"/>
    </row>
    <row r="1246" spans="9:9" ht="32.4">
      <c r="I1246" s="76"/>
    </row>
    <row r="1247" spans="9:9" ht="32.4">
      <c r="I1247" s="76"/>
    </row>
    <row r="1248" spans="9:9" ht="32.4">
      <c r="I1248" s="76"/>
    </row>
    <row r="1249" spans="9:9" ht="32.4">
      <c r="I1249" s="76"/>
    </row>
    <row r="1250" spans="9:9" ht="32.4">
      <c r="I1250" s="76"/>
    </row>
    <row r="1251" spans="9:9" ht="32.4">
      <c r="I1251" s="76"/>
    </row>
    <row r="1252" spans="9:9" ht="32.4">
      <c r="I1252" s="76"/>
    </row>
    <row r="1253" spans="9:9" ht="32.4">
      <c r="I1253" s="76"/>
    </row>
    <row r="1254" spans="9:9" ht="32.4">
      <c r="I1254" s="76"/>
    </row>
    <row r="1255" spans="9:9" ht="32.4">
      <c r="I1255" s="76"/>
    </row>
    <row r="1256" spans="9:9" ht="32.4">
      <c r="I1256" s="76"/>
    </row>
    <row r="1257" spans="9:9" ht="32.4">
      <c r="I1257" s="76"/>
    </row>
    <row r="1258" spans="9:9" ht="32.4">
      <c r="I1258" s="76"/>
    </row>
    <row r="1259" spans="9:9" ht="32.4">
      <c r="I1259" s="76"/>
    </row>
    <row r="1260" spans="9:9" ht="32.4">
      <c r="I1260" s="76"/>
    </row>
    <row r="1261" spans="9:9" ht="32.4">
      <c r="I1261" s="76"/>
    </row>
    <row r="1262" spans="9:9" ht="32.4">
      <c r="I1262" s="76"/>
    </row>
    <row r="1263" spans="9:9" ht="32.4">
      <c r="I1263" s="76"/>
    </row>
    <row r="1264" spans="9:9" ht="32.4">
      <c r="I1264" s="76"/>
    </row>
    <row r="1265" spans="9:9" ht="32.4">
      <c r="I1265" s="76"/>
    </row>
    <row r="1266" spans="9:9" ht="32.4">
      <c r="I1266" s="76"/>
    </row>
    <row r="1267" spans="9:9" ht="32.4">
      <c r="I1267" s="76"/>
    </row>
    <row r="1268" spans="9:9" ht="32.4">
      <c r="I1268" s="76"/>
    </row>
    <row r="1269" spans="9:9" ht="32.4">
      <c r="I1269" s="76"/>
    </row>
    <row r="1270" spans="9:9" ht="32.4">
      <c r="I1270" s="76"/>
    </row>
    <row r="1271" spans="9:9" ht="32.4">
      <c r="I1271" s="76"/>
    </row>
    <row r="1272" spans="9:9" ht="32.4">
      <c r="I1272" s="76"/>
    </row>
    <row r="1273" spans="9:9" ht="32.4">
      <c r="I1273" s="76"/>
    </row>
    <row r="1274" spans="9:9" ht="32.4">
      <c r="I1274" s="76"/>
    </row>
    <row r="1275" spans="9:9" ht="32.4">
      <c r="I1275" s="76"/>
    </row>
    <row r="1276" spans="9:9" ht="32.4">
      <c r="I1276" s="76"/>
    </row>
    <row r="1277" spans="9:9" ht="32.4">
      <c r="I1277" s="76"/>
    </row>
    <row r="1278" spans="9:9" ht="32.4">
      <c r="I1278" s="76"/>
    </row>
    <row r="1279" spans="9:9" ht="32.4">
      <c r="I1279" s="76"/>
    </row>
    <row r="1280" spans="9:9" ht="32.4">
      <c r="I1280" s="76"/>
    </row>
    <row r="1281" spans="9:9" ht="32.4">
      <c r="I1281" s="76"/>
    </row>
    <row r="1282" spans="9:9" ht="32.4">
      <c r="I1282" s="76"/>
    </row>
    <row r="1283" spans="9:9" ht="32.4">
      <c r="I1283" s="76"/>
    </row>
    <row r="1284" spans="9:9" ht="32.4">
      <c r="I1284" s="76"/>
    </row>
  </sheetData>
  <phoneticPr fontId="21" type="noConversion"/>
  <conditionalFormatting sqref="D1">
    <cfRule type="containsText" dxfId="7" priority="10" operator="containsText" text=" ">
      <formula>NOT(ISERROR(SEARCH(" ",D1)))</formula>
    </cfRule>
  </conditionalFormatting>
  <conditionalFormatting sqref="A4:B4">
    <cfRule type="containsText" dxfId="6" priority="5" operator="containsText" text=" ">
      <formula>NOT(ISERROR(SEARCH(" ",A4)))</formula>
    </cfRule>
  </conditionalFormatting>
  <conditionalFormatting sqref="A8:C8">
    <cfRule type="containsText" dxfId="5" priority="1" operator="containsText" text=" ">
      <formula>NOT(ISERROR(SEARCH(" ",A8)))</formula>
    </cfRule>
  </conditionalFormatting>
  <conditionalFormatting sqref="A5:C7 A3:B4 A1:C1">
    <cfRule type="containsText" dxfId="4" priority="12" operator="containsText" text=" ">
      <formula>NOT(ISERROR(SEARCH(" ",A1)))</formula>
    </cfRule>
  </conditionalFormatting>
  <dataValidations count="2">
    <dataValidation type="list" allowBlank="1" showInputMessage="1" showErrorMessage="1" sqref="A1">
      <formula1>#REF!</formula1>
    </dataValidation>
    <dataValidation type="list" allowBlank="1" showInputMessage="1" showErrorMessage="1" sqref="B1 B3:B8">
      <formula1>"等于,包含,IN,大于等,小于等"</formula1>
    </dataValidation>
  </dataValidations>
  <hyperlinks>
    <hyperlink ref="J4" r:id="rId1"/>
  </hyperlinks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UploadExcel">
                <anchor moveWithCells="1">
                  <from>
                    <xdr:col>7</xdr:col>
                    <xdr:colOff>7620</xdr:colOff>
                    <xdr:row>0</xdr:row>
                    <xdr:rowOff>0</xdr:rowOff>
                  </from>
                  <to>
                    <xdr:col>7</xdr:col>
                    <xdr:colOff>1013460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Pict="0" macro="[0]!UpdateBySheet">
                <anchor moveWithCells="1">
                  <from>
                    <xdr:col>6</xdr:col>
                    <xdr:colOff>289560</xdr:colOff>
                    <xdr:row>0</xdr:row>
                    <xdr:rowOff>0</xdr:rowOff>
                  </from>
                  <to>
                    <xdr:col>6</xdr:col>
                    <xdr:colOff>1318260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A3:A8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R25"/>
  <sheetViews>
    <sheetView workbookViewId="0">
      <selection activeCell="B3" sqref="B3"/>
    </sheetView>
  </sheetViews>
  <sheetFormatPr defaultColWidth="9" defaultRowHeight="14.4"/>
  <cols>
    <col min="1" max="1" width="16.44140625" style="47" customWidth="1"/>
    <col min="2" max="2" width="15.6640625" style="48" customWidth="1"/>
    <col min="3" max="3" width="10.88671875" style="48" customWidth="1"/>
    <col min="4" max="4" width="9.88671875" style="48" customWidth="1"/>
    <col min="5" max="5" width="14.21875" style="48" customWidth="1"/>
    <col min="6" max="6" width="11.6640625" style="49" customWidth="1"/>
    <col min="7" max="7" width="10.109375" style="48" customWidth="1"/>
    <col min="8" max="8" width="11" style="48" customWidth="1"/>
    <col min="9" max="9" width="8.109375" style="50" customWidth="1"/>
    <col min="10" max="10" width="9.6640625" style="50" customWidth="1"/>
    <col min="11" max="16384" width="9" style="4"/>
  </cols>
  <sheetData>
    <row r="1" spans="1:18" s="35" customFormat="1" ht="30.6" customHeight="1">
      <c r="B1" s="35" t="s">
        <v>35</v>
      </c>
      <c r="D1" s="42" t="s">
        <v>36</v>
      </c>
      <c r="E1" s="35" t="s">
        <v>37</v>
      </c>
    </row>
    <row r="2" spans="1:18" s="46" customFormat="1">
      <c r="A2" s="51" t="s">
        <v>36</v>
      </c>
      <c r="B2" s="44" t="e">
        <f>sheet1!#REF!</f>
        <v>#REF!</v>
      </c>
      <c r="C2" s="44" t="e">
        <f>sheet1!#REF!</f>
        <v>#REF!</v>
      </c>
      <c r="D2" s="44" t="e">
        <f>sheet1!#REF!</f>
        <v>#REF!</v>
      </c>
      <c r="E2" s="44" t="e">
        <f>sheet1!#REF!</f>
        <v>#REF!</v>
      </c>
      <c r="F2" s="44" t="e">
        <f>sheet1!#REF!</f>
        <v>#REF!</v>
      </c>
      <c r="G2" s="44" t="str">
        <f>sheet1!A11</f>
        <v>项目名称</v>
      </c>
      <c r="H2" s="44" t="str">
        <f>sheet1!B11</f>
        <v>项目负责人</v>
      </c>
      <c r="I2" s="44" t="e">
        <f>sheet1!#REF!</f>
        <v>#REF!</v>
      </c>
      <c r="J2" s="44" t="e">
        <f>sheet1!#REF!</f>
        <v>#REF!</v>
      </c>
      <c r="K2" s="44" t="e">
        <f>sheet1!#REF!</f>
        <v>#REF!</v>
      </c>
      <c r="L2" s="44" t="str">
        <f>sheet1!E11</f>
        <v>学校</v>
      </c>
      <c r="M2" s="44" t="str">
        <f>sheet1!F11</f>
        <v>类型</v>
      </c>
      <c r="N2" s="44" t="str">
        <f>sheet1!G11</f>
        <v>文件_进展汇报表</v>
      </c>
      <c r="O2" s="44">
        <f>sheet1!H11</f>
        <v>0</v>
      </c>
      <c r="P2" s="44">
        <f>sheet1!I11</f>
        <v>0</v>
      </c>
      <c r="Q2" s="44">
        <f>sheet1!J11</f>
        <v>0</v>
      </c>
      <c r="R2" s="44">
        <f>sheet1!K11</f>
        <v>0</v>
      </c>
    </row>
    <row r="3" spans="1:18">
      <c r="A3" s="52" t="s">
        <v>38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</row>
    <row r="4" spans="1:18">
      <c r="A4" s="53" t="s">
        <v>39</v>
      </c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</row>
    <row r="5" spans="1:18">
      <c r="A5" s="52" t="s">
        <v>40</v>
      </c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</row>
    <row r="6" spans="1:18">
      <c r="A6" s="53" t="s">
        <v>41</v>
      </c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</row>
    <row r="7" spans="1:18">
      <c r="A7" s="52"/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</row>
    <row r="8" spans="1:18">
      <c r="A8" s="53"/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</row>
    <row r="9" spans="1:18">
      <c r="A9" s="52"/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</row>
    <row r="10" spans="1:18">
      <c r="A10" s="53"/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</row>
    <row r="11" spans="1:18">
      <c r="A11" s="52"/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</row>
    <row r="12" spans="1:18">
      <c r="A12" s="53"/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</row>
    <row r="13" spans="1:18">
      <c r="A13" s="52"/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</row>
    <row r="14" spans="1:18">
      <c r="A14" s="52"/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</row>
    <row r="15" spans="1:18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18"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>
      <c r="A18" s="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>
      <c r="A19" s="4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</row>
    <row r="20" spans="1:12">
      <c r="A20" s="4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>
      <c r="A21" s="4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1:12">
      <c r="A22" s="4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>
      <c r="A23" s="4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2">
      <c r="A24" s="4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>
      <c r="A25" s="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</row>
  </sheetData>
  <protectedRanges>
    <protectedRange sqref="B15:L25" name="区域1" securityDescriptor=""/>
    <protectedRange sqref="A2" name="区域1_1" securityDescriptor=""/>
    <protectedRange sqref="B3:R14" name="区域1_2" securityDescriptor=""/>
  </protectedRanges>
  <phoneticPr fontId="21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Pict="0" macro="[0]!LilyVlookup">
                <anchor moveWithCells="1" sizeWithCells="1">
                  <from>
                    <xdr:col>6</xdr:col>
                    <xdr:colOff>464820</xdr:colOff>
                    <xdr:row>0</xdr:row>
                    <xdr:rowOff>60960</xdr:rowOff>
                  </from>
                  <to>
                    <xdr:col>9</xdr:col>
                    <xdr:colOff>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4.4"/>
  <cols>
    <col min="1" max="1" width="9.6640625" style="37" customWidth="1"/>
    <col min="2" max="2" width="12" style="38" customWidth="1"/>
    <col min="3" max="3" width="8.44140625" style="38" customWidth="1"/>
    <col min="4" max="4" width="9.88671875" style="38" customWidth="1"/>
    <col min="5" max="5" width="14.21875" style="38" customWidth="1"/>
    <col min="6" max="6" width="11.6640625" style="39" customWidth="1"/>
    <col min="7" max="7" width="10.109375" style="38" customWidth="1"/>
    <col min="8" max="8" width="11" style="38" customWidth="1"/>
    <col min="9" max="9" width="11.21875" style="40" customWidth="1"/>
    <col min="10" max="10" width="18.88671875" style="40" customWidth="1"/>
    <col min="11" max="16384" width="9" style="41"/>
  </cols>
  <sheetData>
    <row r="1" spans="1:21" s="35" customFormat="1" ht="30.6" customHeight="1">
      <c r="B1" s="35" t="s">
        <v>35</v>
      </c>
      <c r="D1" s="42" t="s">
        <v>42</v>
      </c>
      <c r="E1" s="35" t="s">
        <v>37</v>
      </c>
    </row>
    <row r="2" spans="1:21" s="36" customFormat="1">
      <c r="A2" s="43" t="s">
        <v>42</v>
      </c>
      <c r="B2" s="44" t="e">
        <f>sheet1!#REF!</f>
        <v>#REF!</v>
      </c>
      <c r="C2" s="44" t="e">
        <f>sheet1!#REF!</f>
        <v>#REF!</v>
      </c>
      <c r="D2" s="44" t="e">
        <f>sheet1!#REF!</f>
        <v>#REF!</v>
      </c>
      <c r="E2" s="44" t="e">
        <f>sheet1!#REF!</f>
        <v>#REF!</v>
      </c>
      <c r="F2" s="44" t="e">
        <f>sheet1!#REF!</f>
        <v>#REF!</v>
      </c>
      <c r="G2" s="44" t="str">
        <f>sheet1!A11</f>
        <v>项目名称</v>
      </c>
      <c r="H2" s="44" t="str">
        <f>sheet1!B11</f>
        <v>项目负责人</v>
      </c>
      <c r="I2" s="44" t="e">
        <f>sheet1!#REF!</f>
        <v>#REF!</v>
      </c>
      <c r="J2" s="44" t="e">
        <f>sheet1!#REF!</f>
        <v>#REF!</v>
      </c>
      <c r="K2" s="44" t="e">
        <f>sheet1!#REF!</f>
        <v>#REF!</v>
      </c>
      <c r="L2" s="44" t="str">
        <f>sheet1!E11</f>
        <v>学校</v>
      </c>
      <c r="M2" s="44" t="str">
        <f>sheet1!F11</f>
        <v>类型</v>
      </c>
      <c r="N2" s="44" t="str">
        <f>sheet1!G11</f>
        <v>文件_进展汇报表</v>
      </c>
      <c r="O2" s="44">
        <f>sheet1!H11</f>
        <v>0</v>
      </c>
      <c r="P2" s="44">
        <f>sheet1!I11</f>
        <v>0</v>
      </c>
      <c r="Q2" s="44">
        <f>sheet1!J11</f>
        <v>0</v>
      </c>
      <c r="R2" s="44">
        <f>sheet1!K11</f>
        <v>0</v>
      </c>
      <c r="S2" s="44">
        <f>sheet1!L11</f>
        <v>0</v>
      </c>
      <c r="T2" s="44">
        <f>sheet1!M11</f>
        <v>0</v>
      </c>
      <c r="U2" s="44">
        <f>sheet1!N11</f>
        <v>0</v>
      </c>
    </row>
    <row r="3" spans="1:21">
      <c r="A3" s="37">
        <v>1426089308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  <c r="S3" s="45" t="e">
        <f ca="1">INDEX(sheet1!R:R,MATCH(姓名查!$A3,INDIRECT("sheet1!"&amp;VLOOKUP(sheet1!$F$5,帮助!$BR:$BS,2,FALSE)&amp;":"&amp;VLOOKUP(sheet1!$F$5,帮助!$BR:$BS,2,FALSE)),0))</f>
        <v>#N/A</v>
      </c>
      <c r="T3" s="45" t="e">
        <f ca="1">INDEX(sheet1!S:S,MATCH(姓名查!$A3,INDIRECT("sheet1!"&amp;VLOOKUP(sheet1!$F$5,帮助!$BR:$BS,2,FALSE)&amp;":"&amp;VLOOKUP(sheet1!$F$5,帮助!$BR:$BS,2,FALSE)),0))</f>
        <v>#N/A</v>
      </c>
      <c r="U3" s="45" t="e">
        <f ca="1">INDEX(sheet1!T:T,MATCH(姓名查!$A3,INDIRECT("sheet1!"&amp;VLOOKUP(sheet1!$F$5,帮助!$BR:$BS,2,FALSE)&amp;":"&amp;VLOOKUP(sheet1!$F$5,帮助!$BR:$BS,2,FALSE)),0))</f>
        <v>#N/A</v>
      </c>
    </row>
    <row r="4" spans="1:21"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  <c r="S4" s="45" t="e">
        <f ca="1">INDEX(sheet1!R:R,MATCH(姓名查!$A4,INDIRECT("sheet1!"&amp;VLOOKUP(sheet1!$F$5,帮助!$BR:$BS,2,FALSE)&amp;":"&amp;VLOOKUP(sheet1!$F$5,帮助!$BR:$BS,2,FALSE)),0))</f>
        <v>#N/A</v>
      </c>
      <c r="T4" s="45" t="e">
        <f ca="1">INDEX(sheet1!S:S,MATCH(姓名查!$A4,INDIRECT("sheet1!"&amp;VLOOKUP(sheet1!$F$5,帮助!$BR:$BS,2,FALSE)&amp;":"&amp;VLOOKUP(sheet1!$F$5,帮助!$BR:$BS,2,FALSE)),0))</f>
        <v>#N/A</v>
      </c>
      <c r="U4" s="45" t="e">
        <f ca="1">INDEX(sheet1!T:T,MATCH(姓名查!$A4,INDIRECT("sheet1!"&amp;VLOOKUP(sheet1!$F$5,帮助!$BR:$BS,2,FALSE)&amp;":"&amp;VLOOKUP(sheet1!$F$5,帮助!$BR:$BS,2,FALSE)),0))</f>
        <v>#N/A</v>
      </c>
    </row>
    <row r="5" spans="1:21"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  <c r="S5" s="45" t="e">
        <f ca="1">INDEX(sheet1!R:R,MATCH(姓名查!$A5,INDIRECT("sheet1!"&amp;VLOOKUP(sheet1!$F$5,帮助!$BR:$BS,2,FALSE)&amp;":"&amp;VLOOKUP(sheet1!$F$5,帮助!$BR:$BS,2,FALSE)),0))</f>
        <v>#N/A</v>
      </c>
      <c r="T5" s="45" t="e">
        <f ca="1">INDEX(sheet1!S:S,MATCH(姓名查!$A5,INDIRECT("sheet1!"&amp;VLOOKUP(sheet1!$F$5,帮助!$BR:$BS,2,FALSE)&amp;":"&amp;VLOOKUP(sheet1!$F$5,帮助!$BR:$BS,2,FALSE)),0))</f>
        <v>#N/A</v>
      </c>
      <c r="U5" s="45" t="e">
        <f ca="1">INDEX(sheet1!T:T,MATCH(姓名查!$A5,INDIRECT("sheet1!"&amp;VLOOKUP(sheet1!$F$5,帮助!$BR:$BS,2,FALSE)&amp;":"&amp;VLOOKUP(sheet1!$F$5,帮助!$BR:$BS,2,FALSE)),0))</f>
        <v>#N/A</v>
      </c>
    </row>
    <row r="6" spans="1:21"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  <c r="S6" s="45" t="e">
        <f ca="1">INDEX(sheet1!R:R,MATCH(姓名查!$A6,INDIRECT("sheet1!"&amp;VLOOKUP(sheet1!$F$5,帮助!$BR:$BS,2,FALSE)&amp;":"&amp;VLOOKUP(sheet1!$F$5,帮助!$BR:$BS,2,FALSE)),0))</f>
        <v>#N/A</v>
      </c>
      <c r="T6" s="45" t="e">
        <f ca="1">INDEX(sheet1!S:S,MATCH(姓名查!$A6,INDIRECT("sheet1!"&amp;VLOOKUP(sheet1!$F$5,帮助!$BR:$BS,2,FALSE)&amp;":"&amp;VLOOKUP(sheet1!$F$5,帮助!$BR:$BS,2,FALSE)),0))</f>
        <v>#N/A</v>
      </c>
      <c r="U6" s="45" t="e">
        <f ca="1">INDEX(sheet1!T:T,MATCH(姓名查!$A6,INDIRECT("sheet1!"&amp;VLOOKUP(sheet1!$F$5,帮助!$BR:$BS,2,FALSE)&amp;":"&amp;VLOOKUP(sheet1!$F$5,帮助!$BR:$BS,2,FALSE)),0))</f>
        <v>#N/A</v>
      </c>
    </row>
    <row r="7" spans="1:21"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  <c r="S7" s="45" t="e">
        <f ca="1">INDEX(sheet1!R:R,MATCH(姓名查!$A7,INDIRECT("sheet1!"&amp;VLOOKUP(sheet1!$F$5,帮助!$BR:$BS,2,FALSE)&amp;":"&amp;VLOOKUP(sheet1!$F$5,帮助!$BR:$BS,2,FALSE)),0))</f>
        <v>#N/A</v>
      </c>
      <c r="T7" s="45" t="e">
        <f ca="1">INDEX(sheet1!S:S,MATCH(姓名查!$A7,INDIRECT("sheet1!"&amp;VLOOKUP(sheet1!$F$5,帮助!$BR:$BS,2,FALSE)&amp;":"&amp;VLOOKUP(sheet1!$F$5,帮助!$BR:$BS,2,FALSE)),0))</f>
        <v>#N/A</v>
      </c>
      <c r="U7" s="45" t="e">
        <f ca="1">INDEX(sheet1!T:T,MATCH(姓名查!$A7,INDIRECT("sheet1!"&amp;VLOOKUP(sheet1!$F$5,帮助!$BR:$BS,2,FALSE)&amp;":"&amp;VLOOKUP(sheet1!$F$5,帮助!$BR:$BS,2,FALSE)),0))</f>
        <v>#N/A</v>
      </c>
    </row>
    <row r="8" spans="1:21"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  <c r="S8" s="45" t="e">
        <f ca="1">INDEX(sheet1!R:R,MATCH(姓名查!$A8,INDIRECT("sheet1!"&amp;VLOOKUP(sheet1!$F$5,帮助!$BR:$BS,2,FALSE)&amp;":"&amp;VLOOKUP(sheet1!$F$5,帮助!$BR:$BS,2,FALSE)),0))</f>
        <v>#N/A</v>
      </c>
      <c r="T8" s="45" t="e">
        <f ca="1">INDEX(sheet1!S:S,MATCH(姓名查!$A8,INDIRECT("sheet1!"&amp;VLOOKUP(sheet1!$F$5,帮助!$BR:$BS,2,FALSE)&amp;":"&amp;VLOOKUP(sheet1!$F$5,帮助!$BR:$BS,2,FALSE)),0))</f>
        <v>#N/A</v>
      </c>
      <c r="U8" s="45" t="e">
        <f ca="1">INDEX(sheet1!T:T,MATCH(姓名查!$A8,INDIRECT("sheet1!"&amp;VLOOKUP(sheet1!$F$5,帮助!$BR:$BS,2,FALSE)&amp;":"&amp;VLOOKUP(sheet1!$F$5,帮助!$BR:$BS,2,FALSE)),0))</f>
        <v>#N/A</v>
      </c>
    </row>
    <row r="9" spans="1:21"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  <c r="S9" s="45" t="e">
        <f ca="1">INDEX(sheet1!R:R,MATCH(姓名查!$A9,INDIRECT("sheet1!"&amp;VLOOKUP(sheet1!$F$5,帮助!$BR:$BS,2,FALSE)&amp;":"&amp;VLOOKUP(sheet1!$F$5,帮助!$BR:$BS,2,FALSE)),0))</f>
        <v>#N/A</v>
      </c>
      <c r="T9" s="45" t="e">
        <f ca="1">INDEX(sheet1!S:S,MATCH(姓名查!$A9,INDIRECT("sheet1!"&amp;VLOOKUP(sheet1!$F$5,帮助!$BR:$BS,2,FALSE)&amp;":"&amp;VLOOKUP(sheet1!$F$5,帮助!$BR:$BS,2,FALSE)),0))</f>
        <v>#N/A</v>
      </c>
      <c r="U9" s="45" t="e">
        <f ca="1">INDEX(sheet1!T:T,MATCH(姓名查!$A9,INDIRECT("sheet1!"&amp;VLOOKUP(sheet1!$F$5,帮助!$BR:$BS,2,FALSE)&amp;":"&amp;VLOOKUP(sheet1!$F$5,帮助!$BR:$BS,2,FALSE)),0))</f>
        <v>#N/A</v>
      </c>
    </row>
    <row r="10" spans="1:21"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  <c r="S10" s="45" t="e">
        <f ca="1">INDEX(sheet1!R:R,MATCH(姓名查!$A10,INDIRECT("sheet1!"&amp;VLOOKUP(sheet1!$F$5,帮助!$BR:$BS,2,FALSE)&amp;":"&amp;VLOOKUP(sheet1!$F$5,帮助!$BR:$BS,2,FALSE)),0))</f>
        <v>#N/A</v>
      </c>
      <c r="T10" s="45" t="e">
        <f ca="1">INDEX(sheet1!S:S,MATCH(姓名查!$A10,INDIRECT("sheet1!"&amp;VLOOKUP(sheet1!$F$5,帮助!$BR:$BS,2,FALSE)&amp;":"&amp;VLOOKUP(sheet1!$F$5,帮助!$BR:$BS,2,FALSE)),0))</f>
        <v>#N/A</v>
      </c>
      <c r="U10" s="45" t="e">
        <f ca="1">INDEX(sheet1!T:T,MATCH(姓名查!$A10,INDIRECT("sheet1!"&amp;VLOOKUP(sheet1!$F$5,帮助!$BR:$BS,2,FALSE)&amp;":"&amp;VLOOKUP(sheet1!$F$5,帮助!$BR:$BS,2,FALSE)),0))</f>
        <v>#N/A</v>
      </c>
    </row>
    <row r="11" spans="1:21"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  <c r="S11" s="45" t="e">
        <f ca="1">INDEX(sheet1!R:R,MATCH(姓名查!$A11,INDIRECT("sheet1!"&amp;VLOOKUP(sheet1!$F$5,帮助!$BR:$BS,2,FALSE)&amp;":"&amp;VLOOKUP(sheet1!$F$5,帮助!$BR:$BS,2,FALSE)),0))</f>
        <v>#N/A</v>
      </c>
      <c r="T11" s="45" t="e">
        <f ca="1">INDEX(sheet1!S:S,MATCH(姓名查!$A11,INDIRECT("sheet1!"&amp;VLOOKUP(sheet1!$F$5,帮助!$BR:$BS,2,FALSE)&amp;":"&amp;VLOOKUP(sheet1!$F$5,帮助!$BR:$BS,2,FALSE)),0))</f>
        <v>#N/A</v>
      </c>
      <c r="U11" s="45" t="e">
        <f ca="1">INDEX(sheet1!T:T,MATCH(姓名查!$A11,INDIRECT("sheet1!"&amp;VLOOKUP(sheet1!$F$5,帮助!$BR:$BS,2,FALSE)&amp;":"&amp;VLOOKUP(sheet1!$F$5,帮助!$BR:$BS,2,FALSE)),0))</f>
        <v>#N/A</v>
      </c>
    </row>
    <row r="12" spans="1:21"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  <c r="S12" s="45" t="e">
        <f ca="1">INDEX(sheet1!R:R,MATCH(姓名查!$A12,INDIRECT("sheet1!"&amp;VLOOKUP(sheet1!$F$5,帮助!$BR:$BS,2,FALSE)&amp;":"&amp;VLOOKUP(sheet1!$F$5,帮助!$BR:$BS,2,FALSE)),0))</f>
        <v>#N/A</v>
      </c>
      <c r="T12" s="45" t="e">
        <f ca="1">INDEX(sheet1!S:S,MATCH(姓名查!$A12,INDIRECT("sheet1!"&amp;VLOOKUP(sheet1!$F$5,帮助!$BR:$BS,2,FALSE)&amp;":"&amp;VLOOKUP(sheet1!$F$5,帮助!$BR:$BS,2,FALSE)),0))</f>
        <v>#N/A</v>
      </c>
      <c r="U12" s="45" t="e">
        <f ca="1">INDEX(sheet1!T:T,MATCH(姓名查!$A12,INDIRECT("sheet1!"&amp;VLOOKUP(sheet1!$F$5,帮助!$BR:$BS,2,FALSE)&amp;":"&amp;VLOOKUP(sheet1!$F$5,帮助!$BR:$BS,2,FALSE)),0))</f>
        <v>#N/A</v>
      </c>
    </row>
    <row r="13" spans="1:21"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  <c r="S13" s="45" t="e">
        <f ca="1">INDEX(sheet1!R:R,MATCH(姓名查!$A13,INDIRECT("sheet1!"&amp;VLOOKUP(sheet1!$F$5,帮助!$BR:$BS,2,FALSE)&amp;":"&amp;VLOOKUP(sheet1!$F$5,帮助!$BR:$BS,2,FALSE)),0))</f>
        <v>#N/A</v>
      </c>
      <c r="T13" s="45" t="e">
        <f ca="1">INDEX(sheet1!S:S,MATCH(姓名查!$A13,INDIRECT("sheet1!"&amp;VLOOKUP(sheet1!$F$5,帮助!$BR:$BS,2,FALSE)&amp;":"&amp;VLOOKUP(sheet1!$F$5,帮助!$BR:$BS,2,FALSE)),0))</f>
        <v>#N/A</v>
      </c>
      <c r="U13" s="45" t="e">
        <f ca="1">INDEX(sheet1!T:T,MATCH(姓名查!$A13,INDIRECT("sheet1!"&amp;VLOOKUP(sheet1!$F$5,帮助!$BR:$BS,2,FALSE)&amp;":"&amp;VLOOKUP(sheet1!$F$5,帮助!$BR:$BS,2,FALSE)),0))</f>
        <v>#N/A</v>
      </c>
    </row>
    <row r="14" spans="1:21"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  <c r="S14" s="45" t="e">
        <f ca="1">INDEX(sheet1!R:R,MATCH(姓名查!$A14,INDIRECT("sheet1!"&amp;VLOOKUP(sheet1!$F$5,帮助!$BR:$BS,2,FALSE)&amp;":"&amp;VLOOKUP(sheet1!$F$5,帮助!$BR:$BS,2,FALSE)),0))</f>
        <v>#N/A</v>
      </c>
      <c r="T14" s="45" t="e">
        <f ca="1">INDEX(sheet1!S:S,MATCH(姓名查!$A14,INDIRECT("sheet1!"&amp;VLOOKUP(sheet1!$F$5,帮助!$BR:$BS,2,FALSE)&amp;":"&amp;VLOOKUP(sheet1!$F$5,帮助!$BR:$BS,2,FALSE)),0))</f>
        <v>#N/A</v>
      </c>
      <c r="U14" s="45" t="e">
        <f ca="1">INDEX(sheet1!T:T,MATCH(姓名查!$A14,INDIRECT("sheet1!"&amp;VLOOKUP(sheet1!$F$5,帮助!$BR:$BS,2,FALSE)&amp;":"&amp;VLOOKUP(sheet1!$F$5,帮助!$BR:$BS,2,FALSE)),0))</f>
        <v>#N/A</v>
      </c>
    </row>
    <row r="15" spans="1:21">
      <c r="B15" s="45" t="e">
        <f ca="1">INDEX(sheet1!A:A,MATCH(姓名查!$A15,INDIRECT("sheet1!"&amp;VLOOKUP(sheet1!$F$5,帮助!$BR:$BS,2,FALSE)&amp;":"&amp;VLOOKUP(sheet1!$F$5,帮助!$BR:$BS,2,FALSE)),0))</f>
        <v>#N/A</v>
      </c>
      <c r="C15" s="45" t="e">
        <f ca="1">INDEX(sheet1!B:B,MATCH(姓名查!$A15,INDIRECT("sheet1!"&amp;VLOOKUP(sheet1!$F$5,帮助!$BR:$BS,2,FALSE)&amp;":"&amp;VLOOKUP(sheet1!$F$5,帮助!$BR:$BS,2,FALSE)),0))</f>
        <v>#N/A</v>
      </c>
      <c r="D15" s="45" t="e">
        <f ca="1">INDEX(sheet1!C:C,MATCH(姓名查!$A15,INDIRECT("sheet1!"&amp;VLOOKUP(sheet1!$F$5,帮助!$BR:$BS,2,FALSE)&amp;":"&amp;VLOOKUP(sheet1!$F$5,帮助!$BR:$BS,2,FALSE)),0))</f>
        <v>#N/A</v>
      </c>
      <c r="E15" s="45" t="e">
        <f ca="1">INDEX(sheet1!D:D,MATCH(姓名查!$A15,INDIRECT("sheet1!"&amp;VLOOKUP(sheet1!$F$5,帮助!$BR:$BS,2,FALSE)&amp;":"&amp;VLOOKUP(sheet1!$F$5,帮助!$BR:$BS,2,FALSE)),0))</f>
        <v>#N/A</v>
      </c>
      <c r="F15" s="45" t="e">
        <f ca="1">INDEX(sheet1!E:E,MATCH(姓名查!$A15,INDIRECT("sheet1!"&amp;VLOOKUP(sheet1!$F$5,帮助!$BR:$BS,2,FALSE)&amp;":"&amp;VLOOKUP(sheet1!$F$5,帮助!$BR:$BS,2,FALSE)),0))</f>
        <v>#N/A</v>
      </c>
      <c r="G15" s="45" t="e">
        <f ca="1">INDEX(sheet1!F:F,MATCH(姓名查!$A15,INDIRECT("sheet1!"&amp;VLOOKUP(sheet1!$F$5,帮助!$BR:$BS,2,FALSE)&amp;":"&amp;VLOOKUP(sheet1!$F$5,帮助!$BR:$BS,2,FALSE)),0))</f>
        <v>#N/A</v>
      </c>
      <c r="H15" s="45" t="e">
        <f ca="1">INDEX(sheet1!G:G,MATCH(姓名查!$A15,INDIRECT("sheet1!"&amp;VLOOKUP(sheet1!$F$5,帮助!$BR:$BS,2,FALSE)&amp;":"&amp;VLOOKUP(sheet1!$F$5,帮助!$BR:$BS,2,FALSE)),0))</f>
        <v>#N/A</v>
      </c>
      <c r="I15" s="45" t="e">
        <f ca="1">INDEX(sheet1!H:H,MATCH(姓名查!$A15,INDIRECT("sheet1!"&amp;VLOOKUP(sheet1!$F$5,帮助!$BR:$BS,2,FALSE)&amp;":"&amp;VLOOKUP(sheet1!$F$5,帮助!$BR:$BS,2,FALSE)),0))</f>
        <v>#N/A</v>
      </c>
      <c r="J15" s="45" t="e">
        <f ca="1">INDEX(sheet1!I:I,MATCH(姓名查!$A15,INDIRECT("sheet1!"&amp;VLOOKUP(sheet1!$F$5,帮助!$BR:$BS,2,FALSE)&amp;":"&amp;VLOOKUP(sheet1!$F$5,帮助!$BR:$BS,2,FALSE)),0))</f>
        <v>#N/A</v>
      </c>
      <c r="K15" s="45" t="e">
        <f ca="1">INDEX(sheet1!J:J,MATCH(姓名查!$A15,INDIRECT("sheet1!"&amp;VLOOKUP(sheet1!$F$5,帮助!$BR:$BS,2,FALSE)&amp;":"&amp;VLOOKUP(sheet1!$F$5,帮助!$BR:$BS,2,FALSE)),0))</f>
        <v>#N/A</v>
      </c>
      <c r="L15" s="45" t="e">
        <f ca="1">INDEX(sheet1!K:K,MATCH(姓名查!$A15,INDIRECT("sheet1!"&amp;VLOOKUP(sheet1!$F$5,帮助!$BR:$BS,2,FALSE)&amp;":"&amp;VLOOKUP(sheet1!$F$5,帮助!$BR:$BS,2,FALSE)),0))</f>
        <v>#N/A</v>
      </c>
      <c r="M15" s="45" t="e">
        <f ca="1">INDEX(sheet1!L:L,MATCH(姓名查!$A15,INDIRECT("sheet1!"&amp;VLOOKUP(sheet1!$F$5,帮助!$BR:$BS,2,FALSE)&amp;":"&amp;VLOOKUP(sheet1!$F$5,帮助!$BR:$BS,2,FALSE)),0))</f>
        <v>#N/A</v>
      </c>
      <c r="N15" s="45" t="e">
        <f ca="1">INDEX(sheet1!M:M,MATCH(姓名查!$A15,INDIRECT("sheet1!"&amp;VLOOKUP(sheet1!$F$5,帮助!$BR:$BS,2,FALSE)&amp;":"&amp;VLOOKUP(sheet1!$F$5,帮助!$BR:$BS,2,FALSE)),0))</f>
        <v>#N/A</v>
      </c>
      <c r="O15" s="45" t="e">
        <f ca="1">INDEX(sheet1!N:N,MATCH(姓名查!$A15,INDIRECT("sheet1!"&amp;VLOOKUP(sheet1!$F$5,帮助!$BR:$BS,2,FALSE)&amp;":"&amp;VLOOKUP(sheet1!$F$5,帮助!$BR:$BS,2,FALSE)),0))</f>
        <v>#N/A</v>
      </c>
      <c r="P15" s="45" t="e">
        <f ca="1">INDEX(sheet1!O:O,MATCH(姓名查!$A15,INDIRECT("sheet1!"&amp;VLOOKUP(sheet1!$F$5,帮助!$BR:$BS,2,FALSE)&amp;":"&amp;VLOOKUP(sheet1!$F$5,帮助!$BR:$BS,2,FALSE)),0))</f>
        <v>#N/A</v>
      </c>
      <c r="Q15" s="45" t="e">
        <f ca="1">INDEX(sheet1!P:P,MATCH(姓名查!$A15,INDIRECT("sheet1!"&amp;VLOOKUP(sheet1!$F$5,帮助!$BR:$BS,2,FALSE)&amp;":"&amp;VLOOKUP(sheet1!$F$5,帮助!$BR:$BS,2,FALSE)),0))</f>
        <v>#N/A</v>
      </c>
      <c r="R15" s="45" t="e">
        <f ca="1">INDEX(sheet1!Q:Q,MATCH(姓名查!$A15,INDIRECT("sheet1!"&amp;VLOOKUP(sheet1!$F$5,帮助!$BR:$BS,2,FALSE)&amp;":"&amp;VLOOKUP(sheet1!$F$5,帮助!$BR:$BS,2,FALSE)),0))</f>
        <v>#N/A</v>
      </c>
      <c r="S15" s="45" t="e">
        <f ca="1">INDEX(sheet1!R:R,MATCH(姓名查!$A15,INDIRECT("sheet1!"&amp;VLOOKUP(sheet1!$F$5,帮助!$BR:$BS,2,FALSE)&amp;":"&amp;VLOOKUP(sheet1!$F$5,帮助!$BR:$BS,2,FALSE)),0))</f>
        <v>#N/A</v>
      </c>
      <c r="T15" s="45" t="e">
        <f ca="1">INDEX(sheet1!S:S,MATCH(姓名查!$A15,INDIRECT("sheet1!"&amp;VLOOKUP(sheet1!$F$5,帮助!$BR:$BS,2,FALSE)&amp;":"&amp;VLOOKUP(sheet1!$F$5,帮助!$BR:$BS,2,FALSE)),0))</f>
        <v>#N/A</v>
      </c>
      <c r="U15" s="45" t="e">
        <f ca="1">INDEX(sheet1!T:T,MATCH(姓名查!$A15,INDIRECT("sheet1!"&amp;VLOOKUP(sheet1!$F$5,帮助!$BR:$BS,2,FALSE)&amp;":"&amp;VLOOKUP(sheet1!$F$5,帮助!$BR:$BS,2,FALSE)),0))</f>
        <v>#N/A</v>
      </c>
    </row>
    <row r="16" spans="1:21">
      <c r="B16" s="45" t="e">
        <f ca="1">INDEX(sheet1!A:A,MATCH(姓名查!$A16,INDIRECT("sheet1!"&amp;VLOOKUP(sheet1!$F$5,帮助!$BR:$BS,2,FALSE)&amp;":"&amp;VLOOKUP(sheet1!$F$5,帮助!$BR:$BS,2,FALSE)),0))</f>
        <v>#N/A</v>
      </c>
      <c r="C16" s="45" t="e">
        <f ca="1">INDEX(sheet1!B:B,MATCH(姓名查!$A16,INDIRECT("sheet1!"&amp;VLOOKUP(sheet1!$F$5,帮助!$BR:$BS,2,FALSE)&amp;":"&amp;VLOOKUP(sheet1!$F$5,帮助!$BR:$BS,2,FALSE)),0))</f>
        <v>#N/A</v>
      </c>
      <c r="D16" s="45" t="e">
        <f ca="1">INDEX(sheet1!C:C,MATCH(姓名查!$A16,INDIRECT("sheet1!"&amp;VLOOKUP(sheet1!$F$5,帮助!$BR:$BS,2,FALSE)&amp;":"&amp;VLOOKUP(sheet1!$F$5,帮助!$BR:$BS,2,FALSE)),0))</f>
        <v>#N/A</v>
      </c>
      <c r="E16" s="45" t="e">
        <f ca="1">INDEX(sheet1!D:D,MATCH(姓名查!$A16,INDIRECT("sheet1!"&amp;VLOOKUP(sheet1!$F$5,帮助!$BR:$BS,2,FALSE)&amp;":"&amp;VLOOKUP(sheet1!$F$5,帮助!$BR:$BS,2,FALSE)),0))</f>
        <v>#N/A</v>
      </c>
      <c r="F16" s="45" t="e">
        <f ca="1">INDEX(sheet1!E:E,MATCH(姓名查!$A16,INDIRECT("sheet1!"&amp;VLOOKUP(sheet1!$F$5,帮助!$BR:$BS,2,FALSE)&amp;":"&amp;VLOOKUP(sheet1!$F$5,帮助!$BR:$BS,2,FALSE)),0))</f>
        <v>#N/A</v>
      </c>
      <c r="G16" s="45" t="e">
        <f ca="1">INDEX(sheet1!F:F,MATCH(姓名查!$A16,INDIRECT("sheet1!"&amp;VLOOKUP(sheet1!$F$5,帮助!$BR:$BS,2,FALSE)&amp;":"&amp;VLOOKUP(sheet1!$F$5,帮助!$BR:$BS,2,FALSE)),0))</f>
        <v>#N/A</v>
      </c>
      <c r="H16" s="45" t="e">
        <f ca="1">INDEX(sheet1!G:G,MATCH(姓名查!$A16,INDIRECT("sheet1!"&amp;VLOOKUP(sheet1!$F$5,帮助!$BR:$BS,2,FALSE)&amp;":"&amp;VLOOKUP(sheet1!$F$5,帮助!$BR:$BS,2,FALSE)),0))</f>
        <v>#N/A</v>
      </c>
      <c r="I16" s="45" t="e">
        <f ca="1">INDEX(sheet1!H:H,MATCH(姓名查!$A16,INDIRECT("sheet1!"&amp;VLOOKUP(sheet1!$F$5,帮助!$BR:$BS,2,FALSE)&amp;":"&amp;VLOOKUP(sheet1!$F$5,帮助!$BR:$BS,2,FALSE)),0))</f>
        <v>#N/A</v>
      </c>
      <c r="J16" s="45" t="e">
        <f ca="1">INDEX(sheet1!I:I,MATCH(姓名查!$A16,INDIRECT("sheet1!"&amp;VLOOKUP(sheet1!$F$5,帮助!$BR:$BS,2,FALSE)&amp;":"&amp;VLOOKUP(sheet1!$F$5,帮助!$BR:$BS,2,FALSE)),0))</f>
        <v>#N/A</v>
      </c>
      <c r="K16" s="45" t="e">
        <f ca="1">INDEX(sheet1!J:J,MATCH(姓名查!$A16,INDIRECT("sheet1!"&amp;VLOOKUP(sheet1!$F$5,帮助!$BR:$BS,2,FALSE)&amp;":"&amp;VLOOKUP(sheet1!$F$5,帮助!$BR:$BS,2,FALSE)),0))</f>
        <v>#N/A</v>
      </c>
      <c r="L16" s="45" t="e">
        <f ca="1">INDEX(sheet1!K:K,MATCH(姓名查!$A16,INDIRECT("sheet1!"&amp;VLOOKUP(sheet1!$F$5,帮助!$BR:$BS,2,FALSE)&amp;":"&amp;VLOOKUP(sheet1!$F$5,帮助!$BR:$BS,2,FALSE)),0))</f>
        <v>#N/A</v>
      </c>
      <c r="M16" s="45" t="e">
        <f ca="1">INDEX(sheet1!L:L,MATCH(姓名查!$A16,INDIRECT("sheet1!"&amp;VLOOKUP(sheet1!$F$5,帮助!$BR:$BS,2,FALSE)&amp;":"&amp;VLOOKUP(sheet1!$F$5,帮助!$BR:$BS,2,FALSE)),0))</f>
        <v>#N/A</v>
      </c>
      <c r="N16" s="45" t="e">
        <f ca="1">INDEX(sheet1!M:M,MATCH(姓名查!$A16,INDIRECT("sheet1!"&amp;VLOOKUP(sheet1!$F$5,帮助!$BR:$BS,2,FALSE)&amp;":"&amp;VLOOKUP(sheet1!$F$5,帮助!$BR:$BS,2,FALSE)),0))</f>
        <v>#N/A</v>
      </c>
      <c r="O16" s="45" t="e">
        <f ca="1">INDEX(sheet1!N:N,MATCH(姓名查!$A16,INDIRECT("sheet1!"&amp;VLOOKUP(sheet1!$F$5,帮助!$BR:$BS,2,FALSE)&amp;":"&amp;VLOOKUP(sheet1!$F$5,帮助!$BR:$BS,2,FALSE)),0))</f>
        <v>#N/A</v>
      </c>
      <c r="P16" s="45" t="e">
        <f ca="1">INDEX(sheet1!O:O,MATCH(姓名查!$A16,INDIRECT("sheet1!"&amp;VLOOKUP(sheet1!$F$5,帮助!$BR:$BS,2,FALSE)&amp;":"&amp;VLOOKUP(sheet1!$F$5,帮助!$BR:$BS,2,FALSE)),0))</f>
        <v>#N/A</v>
      </c>
      <c r="Q16" s="45" t="e">
        <f ca="1">INDEX(sheet1!P:P,MATCH(姓名查!$A16,INDIRECT("sheet1!"&amp;VLOOKUP(sheet1!$F$5,帮助!$BR:$BS,2,FALSE)&amp;":"&amp;VLOOKUP(sheet1!$F$5,帮助!$BR:$BS,2,FALSE)),0))</f>
        <v>#N/A</v>
      </c>
      <c r="R16" s="45" t="e">
        <f ca="1">INDEX(sheet1!Q:Q,MATCH(姓名查!$A16,INDIRECT("sheet1!"&amp;VLOOKUP(sheet1!$F$5,帮助!$BR:$BS,2,FALSE)&amp;":"&amp;VLOOKUP(sheet1!$F$5,帮助!$BR:$BS,2,FALSE)),0))</f>
        <v>#N/A</v>
      </c>
      <c r="S16" s="45" t="e">
        <f ca="1">INDEX(sheet1!R:R,MATCH(姓名查!$A16,INDIRECT("sheet1!"&amp;VLOOKUP(sheet1!$F$5,帮助!$BR:$BS,2,FALSE)&amp;":"&amp;VLOOKUP(sheet1!$F$5,帮助!$BR:$BS,2,FALSE)),0))</f>
        <v>#N/A</v>
      </c>
      <c r="T16" s="45" t="e">
        <f ca="1">INDEX(sheet1!S:S,MATCH(姓名查!$A16,INDIRECT("sheet1!"&amp;VLOOKUP(sheet1!$F$5,帮助!$BR:$BS,2,FALSE)&amp;":"&amp;VLOOKUP(sheet1!$F$5,帮助!$BR:$BS,2,FALSE)),0))</f>
        <v>#N/A</v>
      </c>
      <c r="U16" s="45" t="e">
        <f ca="1">INDEX(sheet1!T:T,MATCH(姓名查!$A16,INDIRECT("sheet1!"&amp;VLOOKUP(sheet1!$F$5,帮助!$BR:$BS,2,FALSE)&amp;":"&amp;VLOOKUP(sheet1!$F$5,帮助!$BR:$BS,2,FALSE)),0))</f>
        <v>#N/A</v>
      </c>
    </row>
    <row r="17" spans="1:12"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>
      <c r="A18" s="41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>
      <c r="A19" s="41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>
      <c r="A20" s="41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>
      <c r="A21" s="41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  <row r="22" spans="1:12">
      <c r="A22" s="41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</row>
    <row r="23" spans="1:12">
      <c r="A23" s="41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</row>
    <row r="24" spans="1:12">
      <c r="A24" s="41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</row>
    <row r="25" spans="1:12">
      <c r="A25" s="4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</row>
  </sheetData>
  <protectedRanges>
    <protectedRange sqref="B17:L25 B3:U16" name="区域1_2" securityDescriptor=""/>
    <protectedRange sqref="A2" name="区域1_1_1" securityDescriptor=""/>
  </protectedRanges>
  <phoneticPr fontId="21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4.4"/>
  <cols>
    <col min="1" max="1" width="21.6640625" style="3" customWidth="1"/>
    <col min="2" max="2" width="4.44140625" style="4" customWidth="1"/>
    <col min="3" max="3" width="8.6640625" style="4" customWidth="1"/>
    <col min="4" max="4" width="4.44140625" style="4" customWidth="1"/>
    <col min="5" max="7" width="9" style="5" customWidth="1"/>
    <col min="8" max="8" width="9" style="6"/>
    <col min="9" max="9" width="25.21875" style="4" customWidth="1"/>
    <col min="10" max="77" width="9" style="4" customWidth="1"/>
    <col min="78" max="16384" width="9" style="4"/>
  </cols>
  <sheetData>
    <row r="1" spans="1:71">
      <c r="A1" s="7"/>
      <c r="B1" s="8"/>
      <c r="C1" s="8"/>
      <c r="D1" s="9" t="s">
        <v>43</v>
      </c>
      <c r="E1" s="9" t="s">
        <v>44</v>
      </c>
      <c r="F1" s="10"/>
      <c r="G1" s="10"/>
      <c r="H1" s="11"/>
      <c r="I1" s="2"/>
      <c r="J1" s="8"/>
      <c r="K1" s="32" t="s">
        <v>1</v>
      </c>
      <c r="L1" s="2"/>
      <c r="M1" s="32" t="s">
        <v>45</v>
      </c>
      <c r="N1" s="32" t="s">
        <v>0</v>
      </c>
      <c r="O1" s="32" t="s">
        <v>46</v>
      </c>
      <c r="P1" s="32" t="s">
        <v>36</v>
      </c>
      <c r="Q1" s="32" t="s">
        <v>47</v>
      </c>
      <c r="R1" s="32" t="s">
        <v>28</v>
      </c>
      <c r="S1" s="32"/>
      <c r="T1" s="32" t="s">
        <v>30</v>
      </c>
      <c r="U1" s="32" t="s">
        <v>48</v>
      </c>
      <c r="V1" s="32" t="s">
        <v>22</v>
      </c>
      <c r="W1" s="32" t="s">
        <v>49</v>
      </c>
      <c r="X1" s="32" t="s">
        <v>18</v>
      </c>
      <c r="Y1" s="32" t="s">
        <v>50</v>
      </c>
      <c r="Z1" s="32" t="s">
        <v>33</v>
      </c>
      <c r="AA1" s="32" t="s">
        <v>51</v>
      </c>
      <c r="AB1" s="32" t="s">
        <v>52</v>
      </c>
      <c r="AC1" s="32" t="s">
        <v>53</v>
      </c>
      <c r="AD1" s="32" t="s">
        <v>54</v>
      </c>
      <c r="AE1" s="32" t="s">
        <v>55</v>
      </c>
      <c r="AF1" s="32" t="s">
        <v>56</v>
      </c>
      <c r="AG1" s="32" t="s">
        <v>57</v>
      </c>
      <c r="AH1" s="32" t="s">
        <v>58</v>
      </c>
      <c r="AI1" s="32" t="s">
        <v>59</v>
      </c>
      <c r="AJ1" s="32" t="s">
        <v>60</v>
      </c>
      <c r="AK1" s="32" t="s">
        <v>61</v>
      </c>
      <c r="AL1" s="32" t="s">
        <v>62</v>
      </c>
      <c r="AM1" s="32" t="s">
        <v>63</v>
      </c>
      <c r="AN1" s="32" t="s">
        <v>64</v>
      </c>
      <c r="AO1" s="32" t="s">
        <v>65</v>
      </c>
      <c r="AP1" s="32" t="s">
        <v>66</v>
      </c>
      <c r="AQ1" s="32" t="s">
        <v>67</v>
      </c>
      <c r="AR1" s="32" t="s">
        <v>68</v>
      </c>
      <c r="AS1" s="32" t="s">
        <v>69</v>
      </c>
      <c r="AT1" s="32" t="s">
        <v>70</v>
      </c>
      <c r="AU1" s="32" t="s">
        <v>71</v>
      </c>
      <c r="AV1" s="32" t="s">
        <v>72</v>
      </c>
      <c r="AW1" s="32" t="s">
        <v>73</v>
      </c>
      <c r="AX1" s="32" t="s">
        <v>74</v>
      </c>
      <c r="AY1" s="32" t="s">
        <v>75</v>
      </c>
      <c r="AZ1" s="32" t="s">
        <v>76</v>
      </c>
      <c r="BA1" s="32" t="s">
        <v>77</v>
      </c>
      <c r="BB1" s="32" t="s">
        <v>78</v>
      </c>
      <c r="BC1" s="32" t="s">
        <v>79</v>
      </c>
      <c r="BD1" s="32" t="s">
        <v>80</v>
      </c>
      <c r="BE1" s="32" t="s">
        <v>81</v>
      </c>
      <c r="BF1" s="32" t="s">
        <v>82</v>
      </c>
      <c r="BG1" s="32" t="s">
        <v>83</v>
      </c>
      <c r="BH1" s="32" t="s">
        <v>84</v>
      </c>
      <c r="BI1" s="32" t="s">
        <v>85</v>
      </c>
      <c r="BJ1" s="32" t="s">
        <v>86</v>
      </c>
      <c r="BK1" s="32" t="s">
        <v>87</v>
      </c>
      <c r="BL1" s="32" t="s">
        <v>88</v>
      </c>
      <c r="BM1" s="32" t="s">
        <v>89</v>
      </c>
      <c r="BN1" s="32" t="s">
        <v>90</v>
      </c>
      <c r="BO1" s="32" t="s">
        <v>91</v>
      </c>
      <c r="BP1" s="32" t="s">
        <v>92</v>
      </c>
      <c r="BQ1" s="32" t="s">
        <v>93</v>
      </c>
    </row>
    <row r="2" spans="1:71">
      <c r="A2" s="7"/>
      <c r="B2" s="12"/>
      <c r="C2" s="13"/>
      <c r="D2" s="8"/>
      <c r="E2" s="12" t="s">
        <v>2</v>
      </c>
      <c r="F2" s="14">
        <v>660205</v>
      </c>
      <c r="G2" s="8"/>
      <c r="H2" s="11"/>
      <c r="I2" s="2"/>
      <c r="J2" s="33"/>
      <c r="K2" s="32" t="s">
        <v>94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7"/>
      <c r="B3" s="12"/>
      <c r="C3" s="13"/>
      <c r="D3" s="13"/>
      <c r="F3" s="8"/>
      <c r="G3" s="8"/>
      <c r="H3" s="15"/>
      <c r="I3" s="2"/>
      <c r="J3" s="8"/>
      <c r="K3" s="32" t="s">
        <v>95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16"/>
      <c r="B4" s="12"/>
      <c r="C4" s="12"/>
      <c r="D4" s="13"/>
      <c r="E4" s="12"/>
      <c r="G4" s="8"/>
      <c r="H4" s="15"/>
      <c r="I4" s="2"/>
      <c r="J4" s="8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16"/>
      <c r="B5" s="12"/>
      <c r="C5" s="12"/>
      <c r="D5" s="13"/>
      <c r="E5" s="8"/>
      <c r="F5" s="8"/>
      <c r="G5" s="8"/>
      <c r="H5" s="15"/>
      <c r="I5" s="2"/>
      <c r="J5" s="1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7"/>
      <c r="B6" s="12"/>
      <c r="C6" s="12"/>
      <c r="D6" s="8"/>
      <c r="E6" s="8"/>
      <c r="F6" s="8"/>
      <c r="G6" s="8"/>
      <c r="H6" s="15"/>
      <c r="I6" s="32" t="s">
        <v>96</v>
      </c>
      <c r="J6" s="3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7"/>
      <c r="B7" s="12"/>
      <c r="C7" s="12"/>
      <c r="D7" s="8"/>
      <c r="E7" s="12" t="s">
        <v>97</v>
      </c>
      <c r="F7" s="17" t="str">
        <f>J4&amp;"index.php/Qwadmin/Rwxy/echosheetname?"</f>
        <v>index.php/Qwadmin/Rwxy/echosheetname?</v>
      </c>
      <c r="G7" s="8"/>
      <c r="H7" s="15"/>
      <c r="I7" s="32" t="s">
        <v>98</v>
      </c>
      <c r="J7" s="3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" customFormat="1">
      <c r="A8" s="18" t="s">
        <v>99</v>
      </c>
      <c r="B8" s="19"/>
      <c r="C8" s="19"/>
      <c r="D8" s="19"/>
      <c r="E8" s="19"/>
      <c r="F8" s="20"/>
      <c r="G8" s="21"/>
      <c r="H8" s="22"/>
    </row>
    <row r="9" spans="1:71">
      <c r="A9" s="23" t="s">
        <v>100</v>
      </c>
      <c r="B9" s="12"/>
      <c r="C9" s="12"/>
      <c r="D9" s="2"/>
      <c r="E9" s="24"/>
      <c r="F9" s="24"/>
      <c r="G9" s="24"/>
      <c r="H9" s="15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4" t="s">
        <v>30</v>
      </c>
      <c r="BS9" s="34" t="s">
        <v>101</v>
      </c>
    </row>
    <row r="10" spans="1:71" s="2" customFormat="1">
      <c r="A10" s="23"/>
      <c r="B10" s="8"/>
      <c r="C10" s="8"/>
      <c r="D10" s="12"/>
      <c r="E10" s="24"/>
      <c r="F10" s="24"/>
      <c r="G10" s="24"/>
      <c r="H10" s="15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R10" s="2" t="s">
        <v>16</v>
      </c>
      <c r="BS10" s="32" t="s">
        <v>102</v>
      </c>
    </row>
    <row r="11" spans="1:71">
      <c r="A11" s="23"/>
      <c r="B11" s="25"/>
      <c r="C11" s="25"/>
      <c r="D11" s="25"/>
      <c r="E11" s="24"/>
      <c r="F11" s="26"/>
      <c r="G11" s="26"/>
      <c r="H11" s="15"/>
      <c r="I11" s="2"/>
      <c r="J11" s="32"/>
      <c r="K11" s="2"/>
      <c r="L11" s="25"/>
      <c r="M11" s="25"/>
      <c r="N11" s="28"/>
      <c r="O11" s="28"/>
      <c r="P11" s="28"/>
      <c r="Q11" s="28"/>
      <c r="R11" s="28"/>
      <c r="S11" s="28"/>
      <c r="T11" s="28"/>
      <c r="U11" s="28"/>
      <c r="W11" s="28"/>
      <c r="X11" s="28"/>
      <c r="BR11" s="4" t="s">
        <v>22</v>
      </c>
      <c r="BS11" s="34" t="s">
        <v>103</v>
      </c>
    </row>
    <row r="12" spans="1:71">
      <c r="A12" s="27"/>
      <c r="B12" s="28"/>
      <c r="C12" s="28"/>
      <c r="D12" s="28"/>
      <c r="E12" s="29"/>
      <c r="F12" s="30"/>
      <c r="G12" s="30"/>
      <c r="H12" s="31"/>
      <c r="J12" s="34"/>
      <c r="L12" s="28"/>
      <c r="M12" s="28"/>
      <c r="N12" s="28"/>
      <c r="O12" s="28"/>
      <c r="P12" s="28"/>
      <c r="Q12" s="28"/>
      <c r="R12" s="28"/>
      <c r="S12" s="28"/>
      <c r="T12" s="28"/>
      <c r="U12" s="28"/>
      <c r="W12" s="28"/>
      <c r="X12" s="28"/>
      <c r="BR12" s="4" t="s">
        <v>31</v>
      </c>
      <c r="BS12" s="32" t="s">
        <v>104</v>
      </c>
    </row>
    <row r="13" spans="1:71">
      <c r="A13" s="27"/>
      <c r="B13" s="28"/>
      <c r="C13" s="28"/>
      <c r="D13" s="28"/>
      <c r="F13" s="30"/>
      <c r="G13" s="30"/>
      <c r="J13" s="34"/>
      <c r="L13" s="28"/>
      <c r="M13" s="28"/>
      <c r="N13" s="28"/>
      <c r="O13" s="28"/>
      <c r="P13" s="28"/>
      <c r="Q13" s="28"/>
      <c r="R13" s="28"/>
      <c r="S13" s="28"/>
      <c r="T13" s="28"/>
      <c r="U13" s="28"/>
      <c r="W13" s="28"/>
      <c r="X13" s="28"/>
      <c r="BR13" s="4" t="s">
        <v>18</v>
      </c>
      <c r="BS13" s="34" t="s">
        <v>105</v>
      </c>
    </row>
    <row r="14" spans="1:71">
      <c r="A14" s="27"/>
      <c r="B14" s="28"/>
      <c r="C14" s="28"/>
      <c r="D14" s="28"/>
      <c r="F14" s="30"/>
      <c r="G14" s="30"/>
      <c r="J14" s="34"/>
      <c r="L14" s="28"/>
      <c r="M14" s="28"/>
      <c r="N14" s="28"/>
      <c r="O14" s="28"/>
      <c r="P14" s="28"/>
      <c r="Q14" s="28"/>
      <c r="R14" s="28"/>
      <c r="S14" s="28"/>
      <c r="T14" s="28"/>
      <c r="U14" s="28"/>
      <c r="W14" s="28"/>
      <c r="X14" s="28"/>
      <c r="BR14" s="4" t="s">
        <v>32</v>
      </c>
      <c r="BS14" s="32" t="s">
        <v>106</v>
      </c>
    </row>
    <row r="15" spans="1:71">
      <c r="A15" s="27"/>
      <c r="B15" s="28"/>
      <c r="C15" s="28"/>
      <c r="D15" s="28"/>
      <c r="F15" s="30"/>
      <c r="G15" s="30"/>
      <c r="J15" s="34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BR15" s="4" t="s">
        <v>33</v>
      </c>
      <c r="BS15" s="34" t="s">
        <v>107</v>
      </c>
    </row>
    <row r="16" spans="1:71">
      <c r="A16" s="27"/>
      <c r="B16" s="28"/>
      <c r="C16" s="28"/>
      <c r="D16" s="28"/>
      <c r="F16" s="30"/>
      <c r="G16" s="30"/>
      <c r="I16" s="34"/>
      <c r="J16" s="34"/>
      <c r="L16" s="28"/>
      <c r="M16" s="28"/>
      <c r="N16" s="28"/>
      <c r="O16" s="28"/>
      <c r="P16" s="28"/>
      <c r="Q16" s="28"/>
      <c r="R16" s="28"/>
      <c r="S16" s="28"/>
      <c r="T16" s="28"/>
      <c r="U16" s="28"/>
      <c r="W16" s="28"/>
      <c r="X16" s="28"/>
      <c r="BR16" s="4" t="s">
        <v>34</v>
      </c>
      <c r="BS16" s="4" t="s">
        <v>108</v>
      </c>
    </row>
    <row r="17" spans="1:71">
      <c r="A17" s="27"/>
      <c r="B17" s="28"/>
      <c r="C17" s="28"/>
      <c r="D17" s="28"/>
      <c r="F17" s="30"/>
      <c r="G17" s="30"/>
      <c r="I17" s="34"/>
      <c r="J17" s="34"/>
      <c r="L17" s="28"/>
      <c r="M17" s="28"/>
      <c r="N17" s="28"/>
      <c r="O17" s="28"/>
      <c r="P17" s="28"/>
      <c r="Q17" s="28"/>
      <c r="R17" s="28"/>
      <c r="S17" s="28"/>
      <c r="T17" s="28"/>
      <c r="U17" s="28"/>
      <c r="W17" s="28"/>
      <c r="X17" s="28"/>
      <c r="BR17" s="4" t="s">
        <v>52</v>
      </c>
      <c r="BS17" s="4" t="s">
        <v>109</v>
      </c>
    </row>
    <row r="18" spans="1:71">
      <c r="A18" s="27"/>
      <c r="B18" s="28"/>
      <c r="C18" s="28"/>
      <c r="D18" s="28"/>
      <c r="F18" s="30"/>
      <c r="G18" s="30"/>
      <c r="J18" s="34"/>
      <c r="L18" s="28"/>
      <c r="M18" s="28"/>
      <c r="N18" s="28"/>
      <c r="O18" s="28"/>
      <c r="P18" s="28"/>
      <c r="Q18" s="28"/>
      <c r="R18" s="28"/>
      <c r="S18" s="28"/>
      <c r="T18" s="28"/>
      <c r="U18" s="28"/>
      <c r="W18" s="28"/>
      <c r="X18" s="28"/>
      <c r="BR18" s="4" t="s">
        <v>110</v>
      </c>
      <c r="BS18" s="4" t="s">
        <v>111</v>
      </c>
    </row>
    <row r="19" spans="1:71">
      <c r="A19" s="27"/>
      <c r="B19" s="28"/>
      <c r="C19" s="28"/>
      <c r="D19" s="28"/>
      <c r="F19" s="30"/>
      <c r="G19" s="30"/>
      <c r="J19" s="34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BR19" s="4" t="s">
        <v>54</v>
      </c>
      <c r="BS19" s="4" t="s">
        <v>112</v>
      </c>
    </row>
    <row r="20" spans="1:71">
      <c r="A20" s="27"/>
      <c r="B20" s="28"/>
      <c r="C20" s="28"/>
      <c r="D20" s="28"/>
      <c r="F20" s="30"/>
      <c r="G20" s="30"/>
      <c r="J20" s="34"/>
      <c r="L20" s="28"/>
      <c r="M20" s="28"/>
      <c r="N20" s="28"/>
      <c r="O20" s="28"/>
      <c r="P20" s="28"/>
      <c r="Q20" s="28"/>
      <c r="R20" s="28"/>
      <c r="S20" s="28"/>
      <c r="T20" s="28"/>
      <c r="U20" s="28"/>
      <c r="W20" s="28"/>
      <c r="X20" s="28"/>
      <c r="BR20" s="4" t="s">
        <v>113</v>
      </c>
      <c r="BS20" s="4" t="s">
        <v>114</v>
      </c>
    </row>
    <row r="21" spans="1:71">
      <c r="A21" s="27"/>
      <c r="B21" s="28"/>
      <c r="C21" s="28"/>
      <c r="D21" s="28"/>
      <c r="F21" s="30"/>
      <c r="G21" s="30"/>
      <c r="J21" s="34"/>
      <c r="L21" s="28"/>
      <c r="M21" s="28"/>
      <c r="N21" s="28"/>
      <c r="O21" s="28"/>
      <c r="P21" s="28"/>
      <c r="Q21" s="28"/>
      <c r="R21" s="28"/>
      <c r="S21" s="28"/>
      <c r="T21" s="28"/>
      <c r="U21" s="28"/>
      <c r="W21" s="28"/>
      <c r="X21" s="28"/>
      <c r="BR21" s="4" t="s">
        <v>56</v>
      </c>
      <c r="BS21" s="4" t="s">
        <v>115</v>
      </c>
    </row>
    <row r="22" spans="1:71">
      <c r="A22" s="27"/>
      <c r="B22" s="28"/>
      <c r="C22" s="28"/>
      <c r="D22" s="28"/>
      <c r="F22" s="30"/>
      <c r="G22" s="30"/>
      <c r="J22" s="34"/>
      <c r="L22" s="28"/>
      <c r="M22" s="28"/>
      <c r="N22" s="28"/>
      <c r="O22" s="28"/>
      <c r="P22" s="28"/>
      <c r="Q22" s="28"/>
      <c r="R22" s="28"/>
      <c r="S22" s="28"/>
      <c r="T22" s="28"/>
      <c r="U22" s="28"/>
      <c r="W22" s="28"/>
      <c r="X22" s="28"/>
      <c r="BR22" s="4" t="s">
        <v>116</v>
      </c>
      <c r="BS22" s="4" t="s">
        <v>117</v>
      </c>
    </row>
    <row r="23" spans="1:71">
      <c r="A23" s="27"/>
      <c r="B23" s="28"/>
      <c r="C23" s="28"/>
      <c r="D23" s="28"/>
      <c r="F23" s="30"/>
      <c r="G23" s="30"/>
      <c r="J23" s="34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BR23" s="4" t="s">
        <v>58</v>
      </c>
      <c r="BS23" s="4" t="s">
        <v>118</v>
      </c>
    </row>
    <row r="24" spans="1:71">
      <c r="A24" s="27"/>
      <c r="B24" s="28"/>
      <c r="C24" s="28"/>
      <c r="D24" s="28"/>
      <c r="F24" s="30"/>
      <c r="G24" s="30"/>
      <c r="J24" s="34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BR24" s="4" t="s">
        <v>119</v>
      </c>
      <c r="BS24" s="4" t="s">
        <v>120</v>
      </c>
    </row>
    <row r="25" spans="1:71">
      <c r="A25" s="27"/>
      <c r="B25" s="28"/>
      <c r="C25" s="28"/>
      <c r="D25" s="28"/>
      <c r="F25" s="30"/>
      <c r="G25" s="30"/>
      <c r="J25" s="34"/>
      <c r="L25" s="28"/>
      <c r="M25" s="28"/>
      <c r="N25" s="28"/>
      <c r="O25" s="28"/>
      <c r="P25" s="28"/>
      <c r="Q25" s="28"/>
      <c r="R25" s="28"/>
      <c r="S25" s="28"/>
      <c r="T25" s="28"/>
      <c r="U25" s="28"/>
      <c r="W25" s="28"/>
      <c r="X25" s="28"/>
      <c r="BR25" s="4" t="s">
        <v>60</v>
      </c>
      <c r="BS25" s="4" t="s">
        <v>121</v>
      </c>
    </row>
    <row r="26" spans="1:71">
      <c r="A26" s="27"/>
      <c r="B26" s="28"/>
      <c r="C26" s="28"/>
      <c r="D26" s="28"/>
      <c r="F26" s="30"/>
      <c r="G26" s="30"/>
      <c r="J26" s="34"/>
      <c r="L26" s="28"/>
      <c r="M26" s="28"/>
      <c r="N26" s="28"/>
      <c r="O26" s="28"/>
      <c r="P26" s="28"/>
      <c r="Q26" s="28"/>
      <c r="R26" s="28"/>
      <c r="S26" s="28"/>
      <c r="T26" s="28"/>
      <c r="U26" s="28"/>
      <c r="W26" s="28"/>
      <c r="X26" s="28"/>
      <c r="BR26" s="4" t="s">
        <v>122</v>
      </c>
      <c r="BS26" s="4" t="s">
        <v>123</v>
      </c>
    </row>
    <row r="27" spans="1:71">
      <c r="A27" s="27"/>
      <c r="B27" s="28"/>
      <c r="C27" s="28"/>
      <c r="D27" s="28"/>
      <c r="F27" s="30"/>
      <c r="G27" s="30"/>
      <c r="J27" s="34"/>
      <c r="L27" s="28"/>
      <c r="M27" s="28"/>
      <c r="N27" s="28"/>
      <c r="O27" s="28"/>
      <c r="P27" s="28"/>
      <c r="Q27" s="28"/>
      <c r="R27" s="28"/>
      <c r="S27" s="28"/>
      <c r="T27" s="28"/>
      <c r="U27" s="28"/>
      <c r="W27" s="28"/>
      <c r="X27" s="28"/>
      <c r="BR27" s="4" t="s">
        <v>62</v>
      </c>
      <c r="BS27" s="4" t="s">
        <v>124</v>
      </c>
    </row>
    <row r="28" spans="1:71">
      <c r="A28" s="27"/>
      <c r="B28" s="28"/>
      <c r="C28" s="28"/>
      <c r="D28" s="28"/>
      <c r="F28" s="30"/>
      <c r="G28" s="30"/>
      <c r="J28" s="34"/>
      <c r="L28" s="28"/>
      <c r="M28" s="28"/>
      <c r="N28" s="28"/>
      <c r="O28" s="28"/>
      <c r="P28" s="28"/>
      <c r="Q28" s="28"/>
      <c r="R28" s="28"/>
      <c r="S28" s="28"/>
      <c r="T28" s="28"/>
      <c r="U28" s="28"/>
      <c r="W28" s="28"/>
      <c r="X28" s="28"/>
      <c r="BR28" s="4" t="s">
        <v>125</v>
      </c>
      <c r="BS28" s="4" t="s">
        <v>126</v>
      </c>
    </row>
    <row r="29" spans="1:71">
      <c r="A29" s="27"/>
      <c r="B29" s="28"/>
      <c r="C29" s="28"/>
      <c r="D29" s="28"/>
      <c r="F29" s="30"/>
      <c r="G29" s="30"/>
      <c r="J29" s="34"/>
      <c r="L29" s="28"/>
      <c r="M29" s="28"/>
      <c r="N29" s="28"/>
      <c r="P29" s="28"/>
      <c r="Q29" s="28"/>
      <c r="R29" s="28"/>
      <c r="S29" s="28"/>
      <c r="T29" s="28"/>
      <c r="U29" s="28"/>
      <c r="W29" s="28"/>
      <c r="X29" s="28"/>
      <c r="BR29" s="4" t="s">
        <v>64</v>
      </c>
      <c r="BS29" s="4" t="s">
        <v>127</v>
      </c>
    </row>
    <row r="30" spans="1:71">
      <c r="A30" s="27"/>
      <c r="B30" s="28"/>
      <c r="C30" s="28"/>
      <c r="D30" s="28"/>
      <c r="F30" s="30"/>
      <c r="G30" s="30"/>
      <c r="J30" s="34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BR30" s="4" t="s">
        <v>128</v>
      </c>
      <c r="BS30" s="4" t="s">
        <v>129</v>
      </c>
    </row>
    <row r="31" spans="1:71">
      <c r="A31" s="27"/>
      <c r="B31" s="28"/>
      <c r="C31" s="28"/>
      <c r="D31" s="28"/>
      <c r="F31" s="30"/>
      <c r="G31" s="30"/>
      <c r="J31" s="34"/>
      <c r="L31" s="28"/>
      <c r="M31" s="28"/>
      <c r="N31" s="28"/>
      <c r="O31" s="28"/>
      <c r="P31" s="28"/>
      <c r="Q31" s="28"/>
      <c r="R31" s="28"/>
      <c r="S31" s="28"/>
      <c r="T31" s="28"/>
      <c r="U31" s="28"/>
      <c r="W31" s="28"/>
      <c r="X31" s="28"/>
      <c r="BR31" s="4" t="s">
        <v>66</v>
      </c>
      <c r="BS31" s="4" t="s">
        <v>130</v>
      </c>
    </row>
    <row r="32" spans="1:71">
      <c r="A32" s="27"/>
      <c r="B32" s="28"/>
      <c r="C32" s="28"/>
      <c r="D32" s="28"/>
      <c r="F32" s="30"/>
      <c r="G32" s="30"/>
      <c r="J32" s="34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BR32" s="4" t="s">
        <v>131</v>
      </c>
      <c r="BS32" s="4" t="s">
        <v>132</v>
      </c>
    </row>
    <row r="33" spans="1:72">
      <c r="A33" s="27"/>
      <c r="B33" s="28"/>
      <c r="C33" s="28"/>
      <c r="D33" s="28"/>
      <c r="F33" s="30"/>
      <c r="G33" s="30"/>
      <c r="J33" s="34"/>
      <c r="L33" s="28"/>
      <c r="M33" s="28"/>
      <c r="N33" s="28"/>
      <c r="O33" s="28"/>
      <c r="P33" s="28"/>
      <c r="Q33" s="28"/>
      <c r="R33" s="28"/>
      <c r="S33" s="28"/>
      <c r="T33" s="28"/>
      <c r="U33" s="28"/>
      <c r="W33" s="28"/>
      <c r="X33" s="28"/>
      <c r="BR33" s="4" t="s">
        <v>68</v>
      </c>
      <c r="BS33" s="4" t="s">
        <v>133</v>
      </c>
    </row>
    <row r="34" spans="1:72">
      <c r="A34" s="27"/>
      <c r="B34" s="28"/>
      <c r="C34" s="28"/>
      <c r="D34" s="28"/>
      <c r="F34" s="30"/>
      <c r="G34" s="30"/>
      <c r="J34" s="34"/>
      <c r="L34" s="28"/>
      <c r="M34" s="28"/>
      <c r="N34" s="28"/>
      <c r="O34" s="28"/>
      <c r="P34" s="28"/>
      <c r="Q34" s="28"/>
      <c r="R34" s="28"/>
      <c r="S34" s="28"/>
      <c r="T34" s="28"/>
      <c r="U34" s="28"/>
      <c r="W34" s="28"/>
      <c r="X34" s="28"/>
      <c r="BR34" s="4" t="s">
        <v>134</v>
      </c>
      <c r="BS34" s="4" t="s">
        <v>135</v>
      </c>
    </row>
    <row r="35" spans="1:72">
      <c r="A35" s="27"/>
      <c r="B35" s="28"/>
      <c r="C35" s="28"/>
      <c r="D35" s="28"/>
      <c r="F35" s="30"/>
      <c r="G35" s="30"/>
      <c r="J35" s="34"/>
      <c r="L35" s="28"/>
      <c r="M35" s="28"/>
      <c r="N35" s="28"/>
      <c r="O35" s="28"/>
      <c r="P35" s="28"/>
      <c r="Q35" s="28"/>
      <c r="R35" s="28"/>
      <c r="S35" s="28"/>
      <c r="T35" s="28"/>
      <c r="U35" s="28"/>
      <c r="W35" s="28"/>
      <c r="X35" s="28"/>
      <c r="BR35" s="4" t="s">
        <v>70</v>
      </c>
      <c r="BS35" s="4" t="s">
        <v>136</v>
      </c>
      <c r="BT35" s="4" t="str">
        <f>"A"&amp;BS35</f>
        <v>AAA</v>
      </c>
    </row>
    <row r="36" spans="1:72">
      <c r="J36" s="34"/>
      <c r="BR36" s="4" t="s">
        <v>137</v>
      </c>
      <c r="BS36" s="4" t="s">
        <v>138</v>
      </c>
      <c r="BT36" s="4" t="str">
        <f t="shared" ref="BT36:BT58" si="0">"A"&amp;BS36</f>
        <v>AAB</v>
      </c>
    </row>
    <row r="37" spans="1:72">
      <c r="J37" s="34"/>
      <c r="BR37" s="4" t="s">
        <v>72</v>
      </c>
      <c r="BS37" s="4" t="s">
        <v>139</v>
      </c>
      <c r="BT37" s="4" t="str">
        <f t="shared" si="0"/>
        <v>AAC</v>
      </c>
    </row>
    <row r="38" spans="1:72">
      <c r="J38" s="34"/>
      <c r="BR38" s="4" t="s">
        <v>140</v>
      </c>
      <c r="BS38" s="4" t="s">
        <v>141</v>
      </c>
      <c r="BT38" s="4" t="str">
        <f t="shared" si="0"/>
        <v>AAD</v>
      </c>
    </row>
    <row r="39" spans="1:72">
      <c r="J39" s="34"/>
      <c r="BR39" s="4" t="s">
        <v>74</v>
      </c>
      <c r="BS39" s="4" t="s">
        <v>142</v>
      </c>
      <c r="BT39" s="4" t="str">
        <f t="shared" si="0"/>
        <v>AAE</v>
      </c>
    </row>
    <row r="40" spans="1:72">
      <c r="J40" s="34"/>
      <c r="BR40" s="4" t="s">
        <v>143</v>
      </c>
      <c r="BS40" s="4" t="s">
        <v>144</v>
      </c>
      <c r="BT40" s="4" t="str">
        <f t="shared" si="0"/>
        <v>AAF</v>
      </c>
    </row>
    <row r="41" spans="1:72">
      <c r="J41" s="34"/>
      <c r="BR41" s="4" t="s">
        <v>76</v>
      </c>
      <c r="BS41" s="4" t="s">
        <v>145</v>
      </c>
      <c r="BT41" s="4" t="str">
        <f t="shared" si="0"/>
        <v>AAG</v>
      </c>
    </row>
    <row r="42" spans="1:72">
      <c r="J42" s="34"/>
      <c r="BR42" s="4" t="s">
        <v>146</v>
      </c>
      <c r="BS42" s="4" t="s">
        <v>147</v>
      </c>
      <c r="BT42" s="4" t="str">
        <f t="shared" si="0"/>
        <v>AAH</v>
      </c>
    </row>
    <row r="43" spans="1:72">
      <c r="J43" s="34"/>
      <c r="BR43" s="4" t="s">
        <v>78</v>
      </c>
      <c r="BS43" s="4" t="s">
        <v>148</v>
      </c>
      <c r="BT43" s="4" t="str">
        <f t="shared" si="0"/>
        <v>AAI</v>
      </c>
    </row>
    <row r="44" spans="1:72">
      <c r="J44" s="34"/>
      <c r="BR44" s="4" t="s">
        <v>149</v>
      </c>
      <c r="BS44" s="4" t="s">
        <v>150</v>
      </c>
      <c r="BT44" s="4" t="str">
        <f t="shared" si="0"/>
        <v>AAJ</v>
      </c>
    </row>
    <row r="45" spans="1:72">
      <c r="J45" s="34"/>
      <c r="BR45" s="4" t="s">
        <v>80</v>
      </c>
      <c r="BS45" s="4" t="s">
        <v>151</v>
      </c>
      <c r="BT45" s="4" t="str">
        <f t="shared" si="0"/>
        <v>AAK</v>
      </c>
    </row>
    <row r="46" spans="1:72">
      <c r="J46" s="34"/>
      <c r="BR46" s="4" t="s">
        <v>152</v>
      </c>
      <c r="BS46" s="4" t="s">
        <v>153</v>
      </c>
      <c r="BT46" s="4" t="str">
        <f t="shared" si="0"/>
        <v>AAL</v>
      </c>
    </row>
    <row r="47" spans="1:72">
      <c r="J47" s="34"/>
      <c r="BR47" s="4" t="s">
        <v>82</v>
      </c>
      <c r="BS47" s="4" t="s">
        <v>154</v>
      </c>
      <c r="BT47" s="4" t="str">
        <f t="shared" si="0"/>
        <v>AAM</v>
      </c>
    </row>
    <row r="48" spans="1:72">
      <c r="J48" s="34"/>
      <c r="BR48" s="4" t="s">
        <v>155</v>
      </c>
      <c r="BS48" s="4" t="s">
        <v>156</v>
      </c>
      <c r="BT48" s="4" t="str">
        <f t="shared" si="0"/>
        <v>AAN</v>
      </c>
    </row>
    <row r="49" spans="10:72">
      <c r="J49" s="34"/>
      <c r="BR49" s="4" t="s">
        <v>84</v>
      </c>
      <c r="BS49" s="4" t="s">
        <v>157</v>
      </c>
      <c r="BT49" s="4" t="str">
        <f t="shared" si="0"/>
        <v>AAO</v>
      </c>
    </row>
    <row r="50" spans="10:72">
      <c r="BR50" s="4" t="s">
        <v>158</v>
      </c>
      <c r="BS50" s="4" t="s">
        <v>159</v>
      </c>
      <c r="BT50" s="4" t="str">
        <f t="shared" si="0"/>
        <v>AAP</v>
      </c>
    </row>
    <row r="51" spans="10:72">
      <c r="BR51" s="4" t="s">
        <v>86</v>
      </c>
      <c r="BS51" s="4" t="s">
        <v>160</v>
      </c>
      <c r="BT51" s="4" t="str">
        <f t="shared" si="0"/>
        <v>AAQ</v>
      </c>
    </row>
    <row r="52" spans="10:72">
      <c r="BR52" s="4" t="s">
        <v>161</v>
      </c>
      <c r="BS52" s="4" t="s">
        <v>162</v>
      </c>
      <c r="BT52" s="4" t="str">
        <f t="shared" si="0"/>
        <v>AAR</v>
      </c>
    </row>
    <row r="53" spans="10:72">
      <c r="BR53" s="4" t="s">
        <v>88</v>
      </c>
      <c r="BS53" s="4" t="s">
        <v>163</v>
      </c>
      <c r="BT53" s="4" t="str">
        <f t="shared" si="0"/>
        <v>AAS</v>
      </c>
    </row>
    <row r="54" spans="10:72">
      <c r="BR54" s="4" t="s">
        <v>164</v>
      </c>
      <c r="BS54" s="4" t="s">
        <v>165</v>
      </c>
      <c r="BT54" s="4" t="str">
        <f t="shared" si="0"/>
        <v>AAT</v>
      </c>
    </row>
    <row r="55" spans="10:72">
      <c r="BR55" s="4" t="s">
        <v>90</v>
      </c>
      <c r="BS55" s="4" t="s">
        <v>166</v>
      </c>
      <c r="BT55" s="4" t="str">
        <f t="shared" si="0"/>
        <v>AAU</v>
      </c>
    </row>
    <row r="56" spans="10:72">
      <c r="BR56" s="4" t="s">
        <v>167</v>
      </c>
      <c r="BS56" s="4" t="s">
        <v>168</v>
      </c>
      <c r="BT56" s="4" t="str">
        <f t="shared" si="0"/>
        <v>AAV</v>
      </c>
    </row>
    <row r="57" spans="10:72">
      <c r="BR57" s="4" t="s">
        <v>92</v>
      </c>
      <c r="BS57" s="4" t="s">
        <v>169</v>
      </c>
      <c r="BT57" s="4" t="str">
        <f t="shared" si="0"/>
        <v>AAW</v>
      </c>
    </row>
    <row r="58" spans="10:72">
      <c r="BR58" s="4" t="s">
        <v>170</v>
      </c>
      <c r="BS58" s="4" t="s">
        <v>171</v>
      </c>
      <c r="BT58" s="4" t="str">
        <f t="shared" si="0"/>
        <v>AAX</v>
      </c>
    </row>
  </sheetData>
  <phoneticPr fontId="21" type="noConversion"/>
  <conditionalFormatting sqref="D1">
    <cfRule type="containsText" dxfId="3" priority="2" operator="containsText" text=" ">
      <formula>NOT(ISERROR(SEARCH(" ",D1)))</formula>
    </cfRule>
  </conditionalFormatting>
  <conditionalFormatting sqref="A9:A10 J1:J5">
    <cfRule type="containsText" dxfId="2" priority="4" operator="containsText" text=" ">
      <formula>NOT(ISERROR(SEARCH(" ",A1)))</formula>
    </cfRule>
  </conditionalFormatting>
  <conditionalFormatting sqref="A2:C3">
    <cfRule type="containsText" dxfId="1" priority="3" operator="containsText" text=" ">
      <formula>NOT(ISERROR(SEARCH(" ",A2)))</formula>
    </cfRule>
  </conditionalFormatting>
  <conditionalFormatting sqref="A4:C8">
    <cfRule type="containsText" dxfId="0" priority="1" operator="containsText" text=" ">
      <formula>NOT(ISERROR(SEARCH(" ",A4)))</formula>
    </cfRule>
  </conditionalFormatting>
  <hyperlinks>
    <hyperlink ref="F7" r:id="rId1" display="=J4&amp;&quot;index.php/Qwadmin/Rwxy/echosheetname?&quot;"/>
  </hyperlinks>
  <pageMargins left="0.69930555555555596" right="0.69930555555555596" top="0.75" bottom="0.75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Pict="0" macro="[0]!UpdateBySheet">
                <anchor moveWithCells="1" sizeWithCells="1">
                  <from>
                    <xdr:col>0</xdr:col>
                    <xdr:colOff>274320</xdr:colOff>
                    <xdr:row>2</xdr:row>
                    <xdr:rowOff>137160</xdr:rowOff>
                  </from>
                  <to>
                    <xdr:col>3</xdr:col>
                    <xdr:colOff>7620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261</vt:i4>
      </vt:variant>
    </vt:vector>
  </HeadingPairs>
  <TitlesOfParts>
    <vt:vector size="265" baseType="lpstr">
      <vt:lpstr>sheet1</vt:lpstr>
      <vt:lpstr>姓名查</vt:lpstr>
      <vt:lpstr>工号查</vt:lpstr>
      <vt:lpstr>帮助</vt:lpstr>
      <vt:lpstr>帮助!ExternalData_1</vt:lpstr>
      <vt:lpstr>sheet1!ExternalData_1_1</vt:lpstr>
      <vt:lpstr>sheet1!ExternalData_1_3</vt:lpstr>
      <vt:lpstr>sheet1!ExternalData_1_4</vt:lpstr>
      <vt:lpstr>sheet1!ExternalData_1_5</vt:lpstr>
      <vt:lpstr>sheet1!ExternalData_1_6</vt:lpstr>
      <vt:lpstr>sheet1!ExternalData_1_7</vt:lpstr>
      <vt:lpstr>帮助!ExternalData_10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sheet1!ExternalData_396</vt:lpstr>
      <vt:lpstr>帮助!ExternalData_4</vt:lpstr>
      <vt:lpstr>sheet1!ExternalData_403</vt:lpstr>
      <vt:lpstr>sheet1!ExternalData_407</vt:lpstr>
      <vt:lpstr>sheet1!ExternalData_409</vt:lpstr>
      <vt:lpstr>sheet1!ExternalData_413</vt:lpstr>
      <vt:lpstr>sheet1!ExternalData_415</vt:lpstr>
      <vt:lpstr>sheet1!ExternalData_417</vt:lpstr>
      <vt:lpstr>sheet1!ExternalData_420</vt:lpstr>
      <vt:lpstr>sheet1!ExternalData_427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sheet1!ExternalData_449</vt:lpstr>
      <vt:lpstr>帮助!ExternalData_5</vt:lpstr>
      <vt:lpstr>帮助!ExternalData_6</vt:lpstr>
      <vt:lpstr>sheet1!ExternalData_618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sheet1!ExternalData_677</vt:lpstr>
      <vt:lpstr>sheet1!ExternalData_682</vt:lpstr>
      <vt:lpstr>sheet1!ExternalData_686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sheet1!ExternalData_710</vt:lpstr>
      <vt:lpstr>sheet1!ExternalData_711</vt:lpstr>
      <vt:lpstr>sheet1!ExternalData_712</vt:lpstr>
      <vt:lpstr>sheet1!ExternalData_715</vt:lpstr>
      <vt:lpstr>sheet1!ExternalData_716</vt:lpstr>
      <vt:lpstr>sheet1!ExternalData_717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sheet1!ExternalData_753</vt:lpstr>
      <vt:lpstr>sheet1!ExternalData_754</vt:lpstr>
      <vt:lpstr>sheet1!ExternalData_756</vt:lpstr>
      <vt:lpstr>sheet1!ExternalData_759</vt:lpstr>
      <vt:lpstr>sheet1!ExternalData_760</vt:lpstr>
      <vt:lpstr>sheet1!ExternalData_761</vt:lpstr>
      <vt:lpstr>sheet1!ExternalData_762</vt:lpstr>
      <vt:lpstr>sheet1!ExternalData_766</vt:lpstr>
      <vt:lpstr>sheet1!ExternalData_767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sheet1!ExternalData_782</vt:lpstr>
      <vt:lpstr>sheet1!ExternalData_783</vt:lpstr>
      <vt:lpstr>sheet1!ExternalData_784</vt:lpstr>
      <vt:lpstr>sheet1!ExternalData_785</vt:lpstr>
      <vt:lpstr>sheet1!ExternalData_786</vt:lpstr>
      <vt:lpstr>sheet1!ExternalData_787</vt:lpstr>
      <vt:lpstr>sheet1!ExternalData_788</vt:lpstr>
      <vt:lpstr>sheet1!ExternalData_789</vt:lpstr>
      <vt:lpstr>sheet1!ExternalData_790</vt:lpstr>
      <vt:lpstr>sheet1!ExternalData_791</vt:lpstr>
      <vt:lpstr>sheet1!ExternalData_793</vt:lpstr>
      <vt:lpstr>sheet1!ExternalData_794</vt:lpstr>
      <vt:lpstr>sheet1!ExternalData_795</vt:lpstr>
      <vt:lpstr>sheet1!ExternalData_796</vt:lpstr>
      <vt:lpstr>sheet1!ExternalData_797</vt:lpstr>
      <vt:lpstr>sheet1!ExternalData_798</vt:lpstr>
      <vt:lpstr>sheet1!ExternalData_799</vt:lpstr>
      <vt:lpstr>帮助!ExternalData_8</vt:lpstr>
      <vt:lpstr>sheet1!ExternalData_800</vt:lpstr>
      <vt:lpstr>sheet1!ExternalData_801</vt:lpstr>
      <vt:lpstr>sheet1!ExternalData_802</vt:lpstr>
      <vt:lpstr>sheet1!ExternalData_803</vt:lpstr>
      <vt:lpstr>sheet1!ExternalData_804</vt:lpstr>
      <vt:lpstr>sheet1!ExternalData_806</vt:lpstr>
      <vt:lpstr>sheet1!ExternalData_809</vt:lpstr>
      <vt:lpstr>sheet1!ExternalData_810</vt:lpstr>
      <vt:lpstr>sheet1!ExternalData_812</vt:lpstr>
      <vt:lpstr>sheet1!ExternalData_813</vt:lpstr>
      <vt:lpstr>sheet1!ExternalData_814</vt:lpstr>
      <vt:lpstr>sheet1!ExternalData_815</vt:lpstr>
      <vt:lpstr>sheet1!ExternalData_816</vt:lpstr>
      <vt:lpstr>sheet1!ExternalData_817</vt:lpstr>
      <vt:lpstr>sheet1!ExternalData_818</vt:lpstr>
      <vt:lpstr>sheet1!ExternalData_819</vt:lpstr>
      <vt:lpstr>sheet1!ExternalData_820</vt:lpstr>
      <vt:lpstr>sheet1!ExternalData_821</vt:lpstr>
      <vt:lpstr>sheet1!ExternalData_822</vt:lpstr>
      <vt:lpstr>sheet1!ExternalData_823</vt:lpstr>
      <vt:lpstr>sheet1!ExternalData_824</vt:lpstr>
      <vt:lpstr>sheet1!ExternalData_825</vt:lpstr>
      <vt:lpstr>sheet1!ExternalData_827</vt:lpstr>
      <vt:lpstr>sheet1!ExternalData_828</vt:lpstr>
      <vt:lpstr>sheet1!ExternalData_829</vt:lpstr>
      <vt:lpstr>sheet1!ExternalData_830</vt:lpstr>
      <vt:lpstr>sheet1!ExternalData_831</vt:lpstr>
      <vt:lpstr>sheet1!ExternalData_832</vt:lpstr>
      <vt:lpstr>sheet1!ExternalData_833</vt:lpstr>
      <vt:lpstr>sheet1!ExternalData_834</vt:lpstr>
      <vt:lpstr>sheet1!ExternalData_835</vt:lpstr>
      <vt:lpstr>sheet1!ExternalData_836</vt:lpstr>
      <vt:lpstr>sheet1!ExternalData_837</vt:lpstr>
      <vt:lpstr>sheet1!ExternalData_838</vt:lpstr>
      <vt:lpstr>sheet1!ExternalData_839</vt:lpstr>
      <vt:lpstr>sheet1!ExternalData_840</vt:lpstr>
      <vt:lpstr>sheet1!ExternalData_857</vt:lpstr>
      <vt:lpstr>sheet1!ExternalData_858</vt:lpstr>
      <vt:lpstr>sheet1!ExternalData_859</vt:lpstr>
      <vt:lpstr>sheet1!ExternalData_860</vt:lpstr>
      <vt:lpstr>sheet1!ExternalData_861</vt:lpstr>
      <vt:lpstr>sheet1!ExternalData_862</vt:lpstr>
      <vt:lpstr>sheet1!ExternalData_865</vt:lpstr>
      <vt:lpstr>sheet1!ExternalData_866</vt:lpstr>
      <vt:lpstr>sheet1!ExternalData_867</vt:lpstr>
      <vt:lpstr>sheet1!ExternalData_868</vt:lpstr>
      <vt:lpstr>sheet1!ExternalData_869</vt:lpstr>
      <vt:lpstr>sheet1!ExternalData_870</vt:lpstr>
      <vt:lpstr>sheet1!ExternalData_871</vt:lpstr>
      <vt:lpstr>sheet1!ExternalData_872</vt:lpstr>
      <vt:lpstr>sheet1!ExternalData_873</vt:lpstr>
      <vt:lpstr>sheet1!ExternalData_874</vt:lpstr>
      <vt:lpstr>sheet1!ExternalData_875</vt:lpstr>
      <vt:lpstr>sheet1!ExternalData_876</vt:lpstr>
      <vt:lpstr>sheet1!ExternalData_877</vt:lpstr>
      <vt:lpstr>sheet1!ExternalData_878</vt:lpstr>
      <vt:lpstr>sheet1!ExternalData_879</vt:lpstr>
      <vt:lpstr>sheet1!ExternalData_880</vt:lpstr>
      <vt:lpstr>sheet1!ExternalData_881</vt:lpstr>
      <vt:lpstr>sheet1!ExternalData_882</vt:lpstr>
      <vt:lpstr>sheet1!ExternalData_883</vt:lpstr>
      <vt:lpstr>sheet1!ExternalData_892</vt:lpstr>
      <vt:lpstr>帮助!ExternalData_9</vt:lpstr>
      <vt:lpstr>sheet1!ExternalData_900</vt:lpstr>
      <vt:lpstr>sheet1!ExternalData_953</vt:lpstr>
      <vt:lpstr>sheet1!ExternalData_954</vt:lpstr>
      <vt:lpstr>sheet1!ExternalData_955</vt:lpstr>
      <vt:lpstr>sheet1!ExternalData_956</vt:lpstr>
      <vt:lpstr>sheet1!ExternalData_957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2017-12-11T23:58:00Z</cp:lastPrinted>
  <dcterms:created xsi:type="dcterms:W3CDTF">2017-09-22T01:14:00Z</dcterms:created>
  <dcterms:modified xsi:type="dcterms:W3CDTF">2019-07-18T06:48:04Z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