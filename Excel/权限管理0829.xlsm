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095" windowHeight="7665"/>
  </bookViews>
  <sheets>
    <sheet name="Sheet1" sheetId="8" r:id="rId1"/>
    <sheet name="Sheet2" sheetId="13" r:id="rId2"/>
    <sheet name="姓名查" sheetId="9" r:id="rId3"/>
    <sheet name="工号查" sheetId="10" state="hidden" r:id="rId4"/>
    <sheet name="帮助" sheetId="12" state="hidden" r:id="rId5"/>
  </sheets>
  <definedNames>
    <definedName name="_xlnm._FilterDatabase" localSheetId="0" hidden="1">Sheet1!$A$11:$E$52</definedName>
    <definedName name="ExternalData_1" localSheetId="0">Sheet1!#REF!</definedName>
    <definedName name="ExternalData_1" localSheetId="4">帮助!$A$11:$K$16</definedName>
    <definedName name="ExternalData_1_1" localSheetId="0">Sheet1!$A$9:$F$11</definedName>
    <definedName name="ExternalData_1_3" localSheetId="0">Sheet1!$A$9:$F$11</definedName>
    <definedName name="ExternalData_1_4" localSheetId="0">Sheet1!$A$9:$G$11</definedName>
    <definedName name="ExternalData_1_5" localSheetId="0">Sheet1!$A$9:$G$11</definedName>
    <definedName name="ExternalData_1_6" localSheetId="0">Sheet1!$A$9:$G$11</definedName>
    <definedName name="ExternalData_1_7" localSheetId="0">Sheet1!$A$9:$G$11</definedName>
    <definedName name="ExternalData_10" localSheetId="4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4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4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4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4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4">帮助!$A$11:$A$12</definedName>
    <definedName name="ExternalData_20" localSheetId="4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4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4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4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4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4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4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4">帮助!$A$11:$A$15</definedName>
    <definedName name="ExternalData_28" localSheetId="4">帮助!$A$11:$A$12</definedName>
    <definedName name="ExternalData_29" localSheetId="4">帮助!$A$9:$A$11</definedName>
    <definedName name="ExternalData_3" localSheetId="4">帮助!$A$11:$K$12</definedName>
    <definedName name="ExternalData_30" localSheetId="4">帮助!$A$9:$A$12</definedName>
    <definedName name="ExternalData_31" localSheetId="4">帮助!$A$9:$A$19</definedName>
    <definedName name="ExternalData_32" localSheetId="4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Sheet1!$A$9:$AP$9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Sheet1!$A$9:$AP$9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Sheet1!$A$9:$AP$9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Sheet1!$A$9:$AP$9</definedName>
    <definedName name="ExternalData_386" localSheetId="0">Sheet1!#REF!</definedName>
    <definedName name="ExternalData_387" localSheetId="0">Sheet1!#REF!</definedName>
    <definedName name="ExternalData_388" localSheetId="0">Sheet1!$A$9:$AP$9</definedName>
    <definedName name="ExternalData_389" localSheetId="0">Sheet1!$A$9:$AP$9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Sheet1!$A$9:$AP$9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4">帮助!$A$11:$B$12</definedName>
    <definedName name="ExternalData_400" localSheetId="0">Sheet1!#REF!</definedName>
    <definedName name="ExternalData_402" localSheetId="0">Sheet1!#REF!</definedName>
    <definedName name="ExternalData_403" localSheetId="0">Sheet1!$A$9:$AP$9</definedName>
    <definedName name="ExternalData_404" localSheetId="0">Sheet1!#REF!</definedName>
    <definedName name="ExternalData_405" localSheetId="0">Sheet1!#REF!</definedName>
    <definedName name="ExternalData_407" localSheetId="0">Sheet1!$A$9:$AP$9</definedName>
    <definedName name="ExternalData_408" localSheetId="0">Sheet1!#REF!</definedName>
    <definedName name="ExternalData_409" localSheetId="0">Sheet1!$A$9:$AP$9</definedName>
    <definedName name="ExternalData_411" localSheetId="0">Sheet1!#REF!</definedName>
    <definedName name="ExternalData_412" localSheetId="0">Sheet1!#REF!</definedName>
    <definedName name="ExternalData_413" localSheetId="0">Sheet1!$A$9:$AP$9</definedName>
    <definedName name="ExternalData_415" localSheetId="0">Sheet1!$A$9:$AP$9</definedName>
    <definedName name="ExternalData_417" localSheetId="0">Sheet1!$A$9:$AP$9</definedName>
    <definedName name="ExternalData_419" localSheetId="0">Sheet1!#REF!</definedName>
    <definedName name="ExternalData_420" localSheetId="0">Sheet1!$A$9:$AP$9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Sheet1!$A$9:$AP$9</definedName>
    <definedName name="ExternalData_430" localSheetId="0">Sheet1!#REF!</definedName>
    <definedName name="ExternalData_432" localSheetId="0">Sheet1!$A$9:$AP$9</definedName>
    <definedName name="ExternalData_433" localSheetId="0">Sheet1!#REF!</definedName>
    <definedName name="ExternalData_434" localSheetId="0">Sheet1!#REF!</definedName>
    <definedName name="ExternalData_435" localSheetId="0">Sheet1!$A$9:$AP$9</definedName>
    <definedName name="ExternalData_436" localSheetId="0">Sheet1!#REF!</definedName>
    <definedName name="ExternalData_437" localSheetId="0">Sheet1!$A$9:$AP$9</definedName>
    <definedName name="ExternalData_438" localSheetId="0">Sheet1!$A$9:$AP$9</definedName>
    <definedName name="ExternalData_439" localSheetId="0">Sheet1!#REF!</definedName>
    <definedName name="ExternalData_440" localSheetId="0">Sheet1!$A$9:$AP$9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Sheet1!$A$9:$AP$9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4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4">帮助!$A$11:$B$13</definedName>
    <definedName name="ExternalData_618" localSheetId="0">Sheet1!$A$9:$AW$10</definedName>
    <definedName name="ExternalData_620" localSheetId="0">Sheet1!$A$9:$AW$10</definedName>
    <definedName name="ExternalData_621" localSheetId="0">Sheet1!$A$9:$AW$10</definedName>
    <definedName name="ExternalData_622" localSheetId="0">Sheet1!$A$9:$AW$10</definedName>
    <definedName name="ExternalData_623" localSheetId="0">Sheet1!$A$9:$AW$10</definedName>
    <definedName name="ExternalData_624" localSheetId="0">Sheet1!$A$9:$AW$10</definedName>
    <definedName name="ExternalData_626" localSheetId="0">Sheet1!$A$9:$AW$10</definedName>
    <definedName name="ExternalData_627" localSheetId="0">Sheet1!$A$9:$AX$10</definedName>
    <definedName name="ExternalData_628" localSheetId="0">Sheet1!$A$9:$AW$10</definedName>
    <definedName name="ExternalData_629" localSheetId="0">Sheet1!$A$9:$BH$10</definedName>
    <definedName name="ExternalData_630" localSheetId="0">Sheet1!$A$9:$AW$10</definedName>
    <definedName name="ExternalData_631" localSheetId="0">Sheet1!$A$9:$AW$10</definedName>
    <definedName name="ExternalData_632" localSheetId="0">Sheet1!$A$9:$AW$10</definedName>
    <definedName name="ExternalData_633" localSheetId="0">Sheet1!$A$9:$AW$10</definedName>
    <definedName name="ExternalData_634" localSheetId="0">Sheet1!$A$9:$AW$10</definedName>
    <definedName name="ExternalData_635" localSheetId="0">Sheet1!$A$9:$AW$10</definedName>
    <definedName name="ExternalData_636" localSheetId="0">Sheet1!$A$9:$AW$10</definedName>
    <definedName name="ExternalData_637" localSheetId="0">Sheet1!$A$9:$AW$10</definedName>
    <definedName name="ExternalData_638" localSheetId="0">Sheet1!$A$9:$AW$10</definedName>
    <definedName name="ExternalData_639" localSheetId="0">Sheet1!$A$9:$AW$10</definedName>
    <definedName name="ExternalData_640" localSheetId="0">Sheet1!$A$9:$AW$10</definedName>
    <definedName name="ExternalData_641" localSheetId="0">Sheet1!$A$9:$AW$10</definedName>
    <definedName name="ExternalData_642" localSheetId="0">Sheet1!$A$9:$AW$10</definedName>
    <definedName name="ExternalData_643" localSheetId="0">Sheet1!$A$9:$AW$10</definedName>
    <definedName name="ExternalData_644" localSheetId="0">Sheet1!$A$9:$AW$10</definedName>
    <definedName name="ExternalData_645" localSheetId="0">Sheet1!$A$9:$AW$10</definedName>
    <definedName name="ExternalData_646" localSheetId="0">Sheet1!$A$9:$AW$10</definedName>
    <definedName name="ExternalData_647" localSheetId="0">Sheet1!$A$9:$AW$10</definedName>
    <definedName name="ExternalData_648" localSheetId="0">Sheet1!$A$9:$AW$10</definedName>
    <definedName name="ExternalData_649" localSheetId="0">Sheet1!$A$9:$AW$10</definedName>
    <definedName name="ExternalData_650" localSheetId="0">Sheet1!$A$9:$AW$10</definedName>
    <definedName name="ExternalData_651" localSheetId="0">Sheet1!$A$9:$AW$10</definedName>
    <definedName name="ExternalData_652" localSheetId="0">Sheet1!$A$9:$AW$10</definedName>
    <definedName name="ExternalData_653" localSheetId="0">Sheet1!$A$9:$AW$10</definedName>
    <definedName name="ExternalData_654" localSheetId="0">Sheet1!$A$9:$AW$10</definedName>
    <definedName name="ExternalData_655" localSheetId="0">Sheet1!$A$9:$AW$10</definedName>
    <definedName name="ExternalData_656" localSheetId="0">Sheet1!$A$9:$AW$10</definedName>
    <definedName name="ExternalData_657" localSheetId="0">Sheet1!$A$9:$AW$10</definedName>
    <definedName name="ExternalData_658" localSheetId="0">Sheet1!$A$9:$AW$10</definedName>
    <definedName name="ExternalData_659" localSheetId="0">Sheet1!$A$9:$AW$10</definedName>
    <definedName name="ExternalData_660" localSheetId="0">Sheet1!$A$9:$AW$10</definedName>
    <definedName name="ExternalData_661" localSheetId="0">Sheet1!$A$9:$AW$10</definedName>
    <definedName name="ExternalData_662" localSheetId="0">Sheet1!$A$9:$AW$10</definedName>
    <definedName name="ExternalData_663" localSheetId="0">Sheet1!$A$9:$AW$10</definedName>
    <definedName name="ExternalData_668" localSheetId="0">Sheet1!$A$9:$AW$10</definedName>
    <definedName name="ExternalData_669" localSheetId="0">Sheet1!$A$9:$AW$10</definedName>
    <definedName name="ExternalData_670" localSheetId="0">Sheet1!$A$9:$AW$10</definedName>
    <definedName name="ExternalData_671" localSheetId="0">Sheet1!$A$9:$AW$10</definedName>
    <definedName name="ExternalData_672" localSheetId="0">Sheet1!$A$9:$AW$10</definedName>
    <definedName name="ExternalData_673" localSheetId="0">Sheet1!$A$9:$AW$10</definedName>
    <definedName name="ExternalData_674" localSheetId="0">Sheet1!$A$9:$AW$10</definedName>
    <definedName name="ExternalData_675" localSheetId="0">Sheet1!$A$9:$AW$10</definedName>
    <definedName name="ExternalData_677" localSheetId="0">Sheet1!$A$9:$AW$10</definedName>
    <definedName name="ExternalData_682" localSheetId="0">Sheet1!$A$9:$AW$10</definedName>
    <definedName name="ExternalData_686" localSheetId="0">Sheet1!$A$9:$AW$10</definedName>
    <definedName name="ExternalData_692" localSheetId="0">Sheet1!$A$9:$AW$10</definedName>
    <definedName name="ExternalData_693" localSheetId="0">Sheet1!$A$9:$AW$10</definedName>
    <definedName name="ExternalData_694" localSheetId="0">Sheet1!$A$9:$AW$10</definedName>
    <definedName name="ExternalData_695" localSheetId="0">Sheet1!$A$9:$AW$10</definedName>
    <definedName name="ExternalData_696" localSheetId="0">Sheet1!$A$9:$AW$10</definedName>
    <definedName name="ExternalData_697" localSheetId="0">Sheet1!$A$9:$AW$10</definedName>
    <definedName name="ExternalData_699" localSheetId="0">Sheet1!$A$9:$AW$10</definedName>
    <definedName name="ExternalData_7" localSheetId="4">帮助!$A$11:$A$12</definedName>
    <definedName name="ExternalData_700" localSheetId="0">Sheet1!$A$9:$AW$10</definedName>
    <definedName name="ExternalData_701" localSheetId="0">Sheet1!$A$9:$AW$10</definedName>
    <definedName name="ExternalData_702" localSheetId="0">Sheet1!$A$9:$AW$10</definedName>
    <definedName name="ExternalData_703" localSheetId="0">Sheet1!$A$9:$AW$10</definedName>
    <definedName name="ExternalData_704" localSheetId="0">Sheet1!$A$9:$AW$10</definedName>
    <definedName name="ExternalData_705" localSheetId="0">Sheet1!$A$9:$AW$10</definedName>
    <definedName name="ExternalData_706" localSheetId="0">Sheet1!$A$9:$AW$10</definedName>
    <definedName name="ExternalData_707" localSheetId="0">Sheet1!$A$9:$AW$10</definedName>
    <definedName name="ExternalData_708" localSheetId="0">Sheet1!$A$9:$AW$10</definedName>
    <definedName name="ExternalData_710" localSheetId="0">Sheet1!$A$9:$AW$10</definedName>
    <definedName name="ExternalData_711" localSheetId="0">Sheet1!$A$9:$AW$10</definedName>
    <definedName name="ExternalData_712" localSheetId="0">Sheet1!$A$9:$AW$10</definedName>
    <definedName name="ExternalData_715" localSheetId="0">Sheet1!$A$9:$AW$10</definedName>
    <definedName name="ExternalData_716" localSheetId="0">Sheet1!$A$9:$AW$11</definedName>
    <definedName name="ExternalData_717" localSheetId="0">Sheet1!$A$9:$AW$11</definedName>
    <definedName name="ExternalData_718" localSheetId="0">Sheet1!#REF!</definedName>
    <definedName name="ExternalData_719" localSheetId="0">Sheet1!$A$9:$AW$11</definedName>
    <definedName name="ExternalData_720" localSheetId="0">Sheet1!$A$9:$AW$11</definedName>
    <definedName name="ExternalData_721" localSheetId="0">Sheet1!$A$9:$AW$11</definedName>
    <definedName name="ExternalData_722" localSheetId="0">Sheet1!$A$9:$AW$11</definedName>
    <definedName name="ExternalData_723" localSheetId="0">Sheet1!$A$9:$AW$11</definedName>
    <definedName name="ExternalData_724" localSheetId="0">Sheet1!$A$9:$AW$12</definedName>
    <definedName name="ExternalData_725" localSheetId="0">Sheet1!$A$9:$AW$12</definedName>
    <definedName name="ExternalData_726" localSheetId="0">Sheet1!$A$9:$AW$12</definedName>
    <definedName name="ExternalData_727" localSheetId="0">Sheet1!$A$9:$AW$12</definedName>
    <definedName name="ExternalData_728" localSheetId="0">Sheet1!$A$9:$AW$12</definedName>
    <definedName name="ExternalData_730" localSheetId="0">Sheet1!$A$9:$AW$12</definedName>
    <definedName name="ExternalData_731" localSheetId="0">Sheet1!$A$9:$AW$12</definedName>
    <definedName name="ExternalData_732" localSheetId="0">Sheet1!$A$9:$AW$12</definedName>
    <definedName name="ExternalData_735" localSheetId="0">Sheet1!$A$9:$AW$12</definedName>
    <definedName name="ExternalData_736" localSheetId="0">Sheet1!$A$9:$AW$12</definedName>
    <definedName name="ExternalData_737" localSheetId="0">Sheet1!$A$9:$AW$12</definedName>
    <definedName name="ExternalData_738" localSheetId="0">Sheet1!$A$9:$AW$12</definedName>
    <definedName name="ExternalData_739" localSheetId="0">Sheet1!$A$9:$AW$12</definedName>
    <definedName name="ExternalData_740" localSheetId="0">Sheet1!$A$9:$AW$12</definedName>
    <definedName name="ExternalData_741" localSheetId="0">Sheet1!$A$9:$AW$12</definedName>
    <definedName name="ExternalData_742" localSheetId="0">Sheet1!$A$9:$AW$12</definedName>
    <definedName name="ExternalData_743" localSheetId="0">Sheet1!$A$9:$AW$12</definedName>
    <definedName name="ExternalData_744" localSheetId="0">Sheet1!$A$9:$AW$12</definedName>
    <definedName name="ExternalData_745" localSheetId="0">Sheet1!$A$9:$AW$12</definedName>
    <definedName name="ExternalData_746" localSheetId="0">Sheet1!$A$9:$AW$12</definedName>
    <definedName name="ExternalData_747" localSheetId="0">Sheet1!$A$9:$AW$12</definedName>
    <definedName name="ExternalData_748" localSheetId="0">Sheet1!$A$9:$AW$12</definedName>
    <definedName name="ExternalData_749" localSheetId="0">Sheet1!$A$9:$AW$12</definedName>
    <definedName name="ExternalData_753" localSheetId="0">Sheet1!$A$9:$AW$12</definedName>
    <definedName name="ExternalData_754" localSheetId="0">Sheet1!$A$9:$AW$12</definedName>
    <definedName name="ExternalData_756" localSheetId="0">Sheet1!$A$9:$AW$12</definedName>
    <definedName name="ExternalData_759" localSheetId="0">Sheet1!$A$9:$AW$12</definedName>
    <definedName name="ExternalData_760" localSheetId="0">Sheet1!$A$9:$AW$11</definedName>
    <definedName name="ExternalData_761" localSheetId="0">Sheet1!$A$9:$AW$11</definedName>
    <definedName name="ExternalData_762" localSheetId="0">Sheet1!$A$9:$AW$11</definedName>
    <definedName name="ExternalData_766" localSheetId="0">Sheet1!$A$9:$AW$12</definedName>
    <definedName name="ExternalData_767" localSheetId="0">Sheet1!$A$9:$AW$11</definedName>
    <definedName name="ExternalData_770" localSheetId="0">Sheet1!$A$9:$AW$11</definedName>
    <definedName name="ExternalData_771" localSheetId="0">Sheet1!$A$9:$AW$12</definedName>
    <definedName name="ExternalData_772" localSheetId="0">Sheet1!$A$9:$AW$12</definedName>
    <definedName name="ExternalData_773" localSheetId="0">Sheet1!$A$9:$AW$12</definedName>
    <definedName name="ExternalData_774" localSheetId="0">Sheet1!$A$9:$AW$12</definedName>
    <definedName name="ExternalData_775" localSheetId="0">Sheet1!$A$9:$AW$12</definedName>
    <definedName name="ExternalData_776" localSheetId="0">Sheet1!$A$9:$AW$12</definedName>
    <definedName name="ExternalData_777" localSheetId="0">Sheet1!$A$9:$AW$12</definedName>
    <definedName name="ExternalData_778" localSheetId="0">Sheet1!$A$9:$AW$12</definedName>
    <definedName name="ExternalData_779" localSheetId="0">Sheet1!$A$9:$BH$11</definedName>
    <definedName name="ExternalData_780" localSheetId="0">Sheet1!$A$9:$F$10</definedName>
    <definedName name="ExternalData_781" localSheetId="0">Sheet1!$A$9:$F$10</definedName>
    <definedName name="ExternalData_782" localSheetId="0">Sheet1!$A$9:$F$10</definedName>
    <definedName name="ExternalData_783" localSheetId="0">Sheet1!$A$9:$F$10</definedName>
    <definedName name="ExternalData_784" localSheetId="0">Sheet1!$A$9:$F$10</definedName>
    <definedName name="ExternalData_785" localSheetId="0">Sheet1!$A$9:$F$10</definedName>
    <definedName name="ExternalData_786" localSheetId="0">Sheet1!$A$9:$F$10</definedName>
    <definedName name="ExternalData_787" localSheetId="0">Sheet1!$A$9:$F$10</definedName>
    <definedName name="ExternalData_788" localSheetId="0">Sheet1!$A$9:$F$10</definedName>
    <definedName name="ExternalData_789" localSheetId="0">Sheet1!$A$9:$F$10</definedName>
    <definedName name="ExternalData_790" localSheetId="0">Sheet1!$A$9:$F$10</definedName>
    <definedName name="ExternalData_791" localSheetId="0">Sheet1!$A$9:$F$10</definedName>
    <definedName name="ExternalData_793" localSheetId="0">Sheet1!$A$9:$F$10</definedName>
    <definedName name="ExternalData_794" localSheetId="0">Sheet1!$A$9:$F$12</definedName>
    <definedName name="ExternalData_795" localSheetId="0">Sheet1!$A$9:$F$12</definedName>
    <definedName name="ExternalData_796" localSheetId="0">Sheet1!$A$9:$F$12</definedName>
    <definedName name="ExternalData_797" localSheetId="0">Sheet1!$A$9:$F$12</definedName>
    <definedName name="ExternalData_798" localSheetId="0">Sheet1!$A$9:$F$12</definedName>
    <definedName name="ExternalData_799" localSheetId="0">Sheet1!$A$9:$F$12</definedName>
    <definedName name="ExternalData_8" localSheetId="4">帮助!$A$11:$A$15</definedName>
    <definedName name="ExternalData_800" localSheetId="0">Sheet1!$A$9:$F$12</definedName>
    <definedName name="ExternalData_801" localSheetId="0">Sheet1!$A$9:$F$12</definedName>
    <definedName name="ExternalData_802" localSheetId="0">Sheet1!$A$9:$F$12</definedName>
    <definedName name="ExternalData_803" localSheetId="0">Sheet1!$A$9:$F$12</definedName>
    <definedName name="ExternalData_804" localSheetId="0">Sheet1!$A$9:$F$12</definedName>
    <definedName name="ExternalData_805" localSheetId="0">Sheet1!#REF!</definedName>
    <definedName name="ExternalData_806" localSheetId="0">Sheet1!$A$9:$F$14</definedName>
    <definedName name="ExternalData_807" localSheetId="0">Sheet1!#REF!</definedName>
    <definedName name="ExternalData_808" localSheetId="0">Sheet1!#REF!</definedName>
    <definedName name="ExternalData_809" localSheetId="0">Sheet1!$A$9:$F$14</definedName>
    <definedName name="ExternalData_810" localSheetId="0">Sheet1!$A$9:$F$11</definedName>
    <definedName name="ExternalData_811" localSheetId="0">Sheet1!#REF!</definedName>
    <definedName name="ExternalData_812" localSheetId="0">Sheet1!$A$9:$F$12</definedName>
    <definedName name="ExternalData_813" localSheetId="0">Sheet1!$A$9:$F$11</definedName>
    <definedName name="ExternalData_814" localSheetId="0">Sheet1!$A$9:$F$11</definedName>
    <definedName name="ExternalData_815" localSheetId="0">Sheet1!$A$9:$F$11</definedName>
    <definedName name="ExternalData_816" localSheetId="0">Sheet1!$A$9:$F$11</definedName>
    <definedName name="ExternalData_817" localSheetId="0">Sheet1!$A$9:$F$12</definedName>
    <definedName name="ExternalData_818" localSheetId="0">Sheet1!$A$9:$F$11</definedName>
    <definedName name="ExternalData_819" localSheetId="0">Sheet1!$A$9:$F$11</definedName>
    <definedName name="ExternalData_820" localSheetId="0">Sheet1!$A$9:$F$11</definedName>
    <definedName name="ExternalData_821" localSheetId="0">Sheet1!$A$9:$F$12</definedName>
    <definedName name="ExternalData_822" localSheetId="0">Sheet1!$A$9:$F$12</definedName>
    <definedName name="ExternalData_823" localSheetId="0">Sheet1!$A$9:$F$12</definedName>
    <definedName name="ExternalData_824" localSheetId="0">Sheet1!$A$9:$G$18</definedName>
    <definedName name="ExternalData_825" localSheetId="0">Sheet1!$A$9:$F$12</definedName>
    <definedName name="ExternalData_826" localSheetId="0">Sheet1!#REF!</definedName>
    <definedName name="ExternalData_827" localSheetId="0">Sheet1!$A$9:$F$12</definedName>
    <definedName name="ExternalData_828" localSheetId="0">Sheet1!$A$9:$F$12</definedName>
    <definedName name="ExternalData_829" localSheetId="0">Sheet1!$A$9:$F$12</definedName>
    <definedName name="ExternalData_83" localSheetId="0">Sheet1!#REF!</definedName>
    <definedName name="ExternalData_830" localSheetId="0">Sheet1!$A$9:$F$13</definedName>
    <definedName name="ExternalData_831" localSheetId="0">Sheet1!$A$9:$G$13</definedName>
    <definedName name="ExternalData_832" localSheetId="0">Sheet1!$A$9:$F$13</definedName>
    <definedName name="ExternalData_833" localSheetId="0">Sheet1!$A$9:$F$13</definedName>
    <definedName name="ExternalData_834" localSheetId="0">Sheet1!$A$9:$F$13</definedName>
    <definedName name="ExternalData_835" localSheetId="0">Sheet1!$A$9:$F$13</definedName>
    <definedName name="ExternalData_836" localSheetId="0">Sheet1!$A$9:$F$13</definedName>
    <definedName name="ExternalData_837" localSheetId="0">Sheet1!$A$9:$F$13</definedName>
    <definedName name="ExternalData_838" localSheetId="0">Sheet1!$A$9:$F$13</definedName>
    <definedName name="ExternalData_839" localSheetId="0">Sheet1!$A$9:$F$13</definedName>
    <definedName name="ExternalData_84" localSheetId="0">Sheet1!#REF!</definedName>
    <definedName name="ExternalData_840" localSheetId="0">Sheet1!$A$9:$F$13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Sheet1!$A$9:$F$12</definedName>
    <definedName name="ExternalData_858" localSheetId="0">Sheet1!$A$9:$F$12</definedName>
    <definedName name="ExternalData_859" localSheetId="0">Sheet1!$A$9:$F$12</definedName>
    <definedName name="ExternalData_860" localSheetId="0">Sheet1!$A$9:$F$12</definedName>
    <definedName name="ExternalData_861" localSheetId="0">Sheet1!$A$9:$D$12</definedName>
    <definedName name="ExternalData_862" localSheetId="0">Sheet1!$A$9:$E$12</definedName>
    <definedName name="ExternalData_863" localSheetId="0">Sheet1!#REF!</definedName>
    <definedName name="ExternalData_864" localSheetId="0">Sheet1!#REF!</definedName>
    <definedName name="ExternalData_865" localSheetId="0">Sheet1!$A$9:$F$11</definedName>
    <definedName name="ExternalData_866" localSheetId="0">Sheet1!$A$9:$F$11</definedName>
    <definedName name="ExternalData_867" localSheetId="0">Sheet1!$A$9:$F$11</definedName>
    <definedName name="ExternalData_868" localSheetId="0">Sheet1!$A$9:$F$15</definedName>
    <definedName name="ExternalData_869" localSheetId="0">Sheet1!$A$9:$F$11</definedName>
    <definedName name="ExternalData_870" localSheetId="0">Sheet1!$A$9:$F$11</definedName>
    <definedName name="ExternalData_871" localSheetId="0">Sheet1!$A$9:$G$11</definedName>
    <definedName name="ExternalData_872" localSheetId="0">Sheet1!$A$9:$G$11</definedName>
    <definedName name="ExternalData_873" localSheetId="0">Sheet1!$A$9:$G$15</definedName>
    <definedName name="ExternalData_873" localSheetId="1">Sheet2!$A$9:$G$15</definedName>
    <definedName name="ExternalData_874" localSheetId="0">Sheet1!$A$9:$G$15</definedName>
    <definedName name="ExternalData_874" localSheetId="1">Sheet2!$A$9:$G$15</definedName>
    <definedName name="ExternalData_875" localSheetId="0">Sheet1!$A$9:$G$15</definedName>
    <definedName name="ExternalData_875" localSheetId="1">Sheet2!$A$9:$G$15</definedName>
    <definedName name="ExternalData_876" localSheetId="0">Sheet1!$A$9:$G$15</definedName>
    <definedName name="ExternalData_876" localSheetId="1">Sheet2!$A$9:$G$15</definedName>
    <definedName name="ExternalData_877" localSheetId="0">Sheet1!$A$9:$H$16</definedName>
    <definedName name="ExternalData_877" localSheetId="1">Sheet2!$A$9:$H$16</definedName>
    <definedName name="ExternalData_878" localSheetId="0">Sheet1!$A$9:$H$16</definedName>
    <definedName name="ExternalData_878" localSheetId="1">Sheet2!$A$9:$H$16</definedName>
    <definedName name="ExternalData_879" localSheetId="0">Sheet1!$A$9:$H$16</definedName>
    <definedName name="ExternalData_879" localSheetId="1">Sheet2!$A$9:$H$16</definedName>
    <definedName name="ExternalData_880" localSheetId="0">Sheet1!$A$9:$H$16</definedName>
    <definedName name="ExternalData_880" localSheetId="1">Sheet2!$A$9:$H$16</definedName>
    <definedName name="ExternalData_881" localSheetId="0">Sheet1!$A$9:$H$16</definedName>
    <definedName name="ExternalData_881" localSheetId="1">Sheet2!$A$9:$H$16</definedName>
    <definedName name="ExternalData_882" localSheetId="0">Sheet1!$A$9:$G$16</definedName>
    <definedName name="ExternalData_882" localSheetId="1">Sheet2!$A$9:$G$16</definedName>
    <definedName name="ExternalData_883" localSheetId="0">Sheet1!$A$9:$G$16</definedName>
    <definedName name="ExternalData_883" localSheetId="1">Sheet2!$A$9:$G$16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Sheet1!$A$9:$G$15</definedName>
    <definedName name="ExternalData_892" localSheetId="1">Sheet2!$A$9:$G$15</definedName>
    <definedName name="ExternalData_893" localSheetId="0">Sheet1!$A$9:$F$16</definedName>
    <definedName name="ExternalData_894" localSheetId="0">Sheet1!$A$9:$F$16</definedName>
    <definedName name="ExternalData_895" localSheetId="0">Sheet1!$A$9:$F$16</definedName>
    <definedName name="ExternalData_896" localSheetId="0">Sheet1!$A$9:$F$16</definedName>
    <definedName name="ExternalData_9" localSheetId="4">帮助!$A$11:$A$15</definedName>
    <definedName name="ExternalData_90" localSheetId="0">Sheet1!#REF!</definedName>
    <definedName name="ExternalData_900" localSheetId="0">Sheet1!$A$9:$G$15</definedName>
    <definedName name="ExternalData_900" localSheetId="1">Sheet2!$A$9:$G$15</definedName>
    <definedName name="ExternalData_91" localSheetId="0">Sheet1!#REF!</definedName>
    <definedName name="ExternalData_913" localSheetId="0">Sheet1!#REF!</definedName>
    <definedName name="ExternalData_92" localSheetId="0">Sheet1!#REF!</definedName>
    <definedName name="ExternalData_93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5" localSheetId="0">Sheet1!#REF!</definedName>
    <definedName name="ExternalData_953" localSheetId="0">Sheet1!$A$9:$G$15</definedName>
    <definedName name="ExternalData_953" localSheetId="1">Sheet2!$A$9:$G$15</definedName>
    <definedName name="ExternalData_954" localSheetId="0">Sheet1!$A$9:$A$10</definedName>
    <definedName name="ExternalData_954" localSheetId="1">Sheet2!$A$9:$A$10</definedName>
    <definedName name="ExternalData_955" localSheetId="0">Sheet1!$A$9:$G$17</definedName>
    <definedName name="ExternalData_955" localSheetId="1">Sheet2!$A$9:$G$17</definedName>
    <definedName name="ExternalData_956" localSheetId="0">Sheet1!$A$9:$G$17</definedName>
    <definedName name="ExternalData_956" localSheetId="1">Sheet2!$A$9:$G$17</definedName>
    <definedName name="ExternalData_957" localSheetId="0">Sheet1!$A$9:$E$52</definedName>
    <definedName name="ExternalData_958" localSheetId="0">Sheet1!$A$9:$E$52</definedName>
    <definedName name="ExternalData_959" localSheetId="0">Sheet1!$A$9:$E$53</definedName>
    <definedName name="ExternalData_96" localSheetId="0">Sheet1!#REF!</definedName>
    <definedName name="ExternalData_960" localSheetId="0">Sheet1!$A$9:$F$52</definedName>
    <definedName name="ExternalData_961" localSheetId="0">Sheet1!$A$9:$AX$52</definedName>
    <definedName name="ExternalData_962" localSheetId="0">Sheet1!$A$9:$E$52</definedName>
    <definedName name="ExternalData_963" localSheetId="0">Sheet1!$A$9:$F$52</definedName>
    <definedName name="ExternalData_964" localSheetId="0">Sheet1!$A$9:$G$52</definedName>
    <definedName name="ExternalData_965" localSheetId="0">Sheet1!$A$9:$A$57</definedName>
    <definedName name="ExternalData_966" localSheetId="0">Sheet1!$A$9:$F$19</definedName>
    <definedName name="ExternalData_967" localSheetId="0">Sheet1!$A$9:$G$52</definedName>
    <definedName name="ExternalData_968" localSheetId="0">Sheet1!$A$9:$F$19</definedName>
    <definedName name="ExternalData_969" localSheetId="0">Sheet1!$A$9:$A$10</definedName>
    <definedName name="ExternalData_97" localSheetId="0">Sheet1!#REF!</definedName>
    <definedName name="ExternalData_970" localSheetId="0">Sheet1!$A$9:$A$10</definedName>
    <definedName name="ExternalData_971" localSheetId="0">Sheet1!$A$9:$F$16</definedName>
    <definedName name="ExternalData_972" localSheetId="0">Sheet1!$A$9:$G$33</definedName>
    <definedName name="ExternalData_973" localSheetId="0">Sheet1!$A$9:$A$13</definedName>
    <definedName name="ExternalData_974" localSheetId="0">Sheet1!$A$9:$F$16</definedName>
    <definedName name="ExternalData_975" localSheetId="0">Sheet1!$A$9:$F$16</definedName>
    <definedName name="ExternalData_976" localSheetId="0">Sheet1!$A$9:$F$16</definedName>
    <definedName name="ExternalData_98" localSheetId="0">Sheet1!#REF!</definedName>
    <definedName name="ExternalData_99" localSheetId="0">Sheet1!#REF!</definedName>
  </definedNames>
  <calcPr calcId="144525" calcCompleted="0" calcOnSave="0"/>
</workbook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M6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下载文件时的命名规则
</t>
        </r>
      </text>
    </comment>
    <comment ref="J8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如果有些数据不需提示，可以这里设置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C3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background="1" refreshedVersion="2" deleted="1" saveData="1">
    <webPr parsePre="1" consecutive="1" xl2000="1" htmlFormat="all" htmlTables="1"/>
  </connection>
  <connection id="2" name="连接11" type="4" background="1" refreshedVersion="2" deleted="1" saveData="1">
    <webPr parsePre="1" consecutive="1" xl2000="1" htmlFormat="all" htmlTables="1"/>
  </connection>
  <connection id="3" name="连接12" type="4" background="1" refreshedVersion="2" deleted="1" saveData="1">
    <webPr parsePre="1" consecutive="1" xl2000="1" htmlFormat="all" htmlTables="1"/>
  </connection>
  <connection id="4" name="连接125" type="4" background="1" refreshedVersion="2" deleted="1" saveData="1">
    <webPr parsePre="1" consecutive="1" xl2000="1" htmlFormat="all" htmlTables="1"/>
  </connection>
  <connection id="5" name="连接126" type="4" background="1" refreshedVersion="2" deleted="1" saveData="1">
    <webPr parsePre="1" consecutive="1" xl2000="1" htmlFormat="all" htmlTables="1"/>
  </connection>
  <connection id="6" name="连接127" type="4" background="1" refreshedVersion="2" deleted="1" saveData="1">
    <webPr parsePre="1" consecutive="1" xl2000="1" htmlFormat="all" htmlTables="1"/>
  </connection>
  <connection id="7" name="连接13" type="4" background="1" refreshedVersion="2" deleted="1" saveData="1">
    <webPr parsePre="1" consecutive="1" xl2000="1" htmlFormat="all" htmlTables="1"/>
  </connection>
  <connection id="8" name="连接131" type="4" background="1" refreshedVersion="2" deleted="1" saveData="1">
    <webPr parsePre="1" consecutive="1" xl2000="1" htmlFormat="all" htmlTables="1"/>
  </connection>
  <connection id="9" name="连接137" type="4" background="1" refreshedVersion="2" deleted="1" saveData="1">
    <webPr parsePre="1" consecutive="1" xl2000="1" htmlFormat="all" htmlTables="1"/>
  </connection>
  <connection id="10" name="连接14" type="4" background="1" refreshedVersion="2" deleted="1" saveData="1">
    <webPr parsePre="1" consecutive="1" xl2000="1" htmlFormat="all" htmlTables="1"/>
  </connection>
  <connection id="11" name="连接167" type="4" background="1" refreshedVersion="2" deleted="1" saveData="1">
    <webPr parsePre="1" consecutive="1" xl2000="1" htmlFormat="all" htmlTables="1"/>
  </connection>
  <connection id="12" name="连接183" type="4" background="1" refreshedVersion="2" deleted="1" saveData="1">
    <webPr parsePre="1" consecutive="1" xl2000="1" htmlFormat="all" htmlTables="1"/>
  </connection>
  <connection id="13" name="连接21" type="4" background="1" refreshedVersion="2" deleted="1" saveData="1">
    <webPr parsePre="1" consecutive="1" xl2000="1" htmlFormat="all" htmlTables="1"/>
  </connection>
  <connection id="14" name="连接23" type="4" background="1" refreshedVersion="2" deleted="1" saveData="1">
    <webPr parsePre="1" consecutive="1" xl2000="1" htmlFormat="all" htmlTables="1"/>
  </connection>
  <connection id="15" name="连接27" type="4" background="1" refreshedVersion="2" deleted="1" saveData="1">
    <webPr parsePre="1" consecutive="1" xl2000="1" htmlFormat="all" htmlTables="1"/>
  </connection>
  <connection id="16" name="连接28" type="4" background="1" refreshedVersion="2" deleted="1" saveData="1">
    <webPr parsePre="1" consecutive="1" xl2000="1" htmlFormat="all" htmlTables="1"/>
  </connection>
  <connection id="17" name="连接29" type="4" background="1" refreshedVersion="2" deleted="1" saveData="1">
    <webPr parsePre="1" consecutive="1" xl2000="1" htmlFormat="all" htmlTables="1"/>
  </connection>
  <connection id="18" name="连接30" type="4" background="1" refreshedVersion="2" deleted="1" saveData="1">
    <webPr parsePre="1" consecutive="1" xl2000="1" htmlFormat="all" htmlTables="1"/>
  </connection>
  <connection id="19" name="连接31" type="4" background="1" refreshedVersion="2" deleted="1" saveData="1">
    <webPr parsePre="1" consecutive="1" xl2000="1" htmlFormat="all" htmlTables="1"/>
  </connection>
  <connection id="20" name="连接34" type="4" background="1" refreshedVersion="2" deleted="1" saveData="1">
    <webPr parsePre="1" consecutive="1" xl2000="1" htmlFormat="all" htmlTables="1"/>
  </connection>
  <connection id="21" name="连接35" type="4" background="1" refreshedVersion="2" deleted="1" saveData="1">
    <webPr parsePre="1" consecutive="1" xl2000="1" htmlFormat="all" htmlTables="1"/>
  </connection>
  <connection id="22" name="连接40" type="4" background="1" refreshedVersion="2" deleted="1" saveData="1">
    <webPr parsePre="1" consecutive="1" xl2000="1" htmlFormat="all" htmlTables="1"/>
  </connection>
  <connection id="23" name="连接43" type="4" background="1" refreshedVersion="2" deleted="1" saveData="1">
    <webPr parsePre="1" consecutive="1" xl2000="1" htmlFormat="all" htmlTables="1"/>
  </connection>
  <connection id="24" name="连接57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<sst xmlns="http://schemas.openxmlformats.org/spreadsheetml/2006/main" count="238">
  <si>
    <t>数据表名</t>
  </si>
  <si>
    <t>等于</t>
  </si>
  <si>
    <t>经费使用测试</t>
  </si>
  <si>
    <t>查看密码</t>
  </si>
  <si>
    <t>T8O6J3V1BB</t>
  </si>
  <si>
    <t>d5</t>
  </si>
  <si>
    <t>大于等</t>
  </si>
  <si>
    <t>上传密码</t>
  </si>
  <si>
    <t>251H8837772190</t>
  </si>
  <si>
    <t>匿名填表</t>
  </si>
  <si>
    <t>是</t>
  </si>
  <si>
    <t>小于等</t>
  </si>
  <si>
    <t>用户名</t>
  </si>
  <si>
    <t>覆盖上传</t>
  </si>
  <si>
    <t>复制到</t>
  </si>
  <si>
    <t>A11</t>
  </si>
  <si>
    <t>手机填写网址</t>
  </si>
  <si>
    <t>d1</t>
  </si>
  <si>
    <t>包含</t>
  </si>
  <si>
    <t>费用</t>
  </si>
  <si>
    <t>用户密码</t>
  </si>
  <si>
    <t>查询网址</t>
  </si>
  <si>
    <t>http://aa.r34.cc</t>
  </si>
  <si>
    <t>数据表</t>
  </si>
  <si>
    <t>sheet1</t>
  </si>
  <si>
    <t>查看数据</t>
  </si>
  <si>
    <t>d2</t>
  </si>
  <si>
    <t>收入</t>
  </si>
  <si>
    <t>姓名字段</t>
  </si>
  <si>
    <t>分类字段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</si>
  <si>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</t>
    </r>
  </si>
  <si>
    <t>弹窗提示更新</t>
  </si>
  <si>
    <t>否</t>
  </si>
  <si>
    <t>免密码查询</t>
  </si>
  <si>
    <t>d4</t>
  </si>
  <si>
    <t>非空</t>
  </si>
  <si>
    <t>ID字段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</si>
  <si>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7</t>
    </r>
  </si>
  <si>
    <t>排序字段</t>
  </si>
  <si>
    <t>文件名命名规则</t>
  </si>
  <si>
    <t>A</t>
  </si>
  <si>
    <t>在线修改</t>
  </si>
  <si>
    <t>IN</t>
  </si>
  <si>
    <t>[12年]5003科研项目费用,[13年]5101设备费,[13年]5109劳务费,[13年]5008学术讲座费,[14年]5110专家咨询费,[14年]5003科研项目费用,[14年]5008学术讲座费,</t>
  </si>
  <si>
    <t>缩略显示</t>
  </si>
  <si>
    <t>d5,d2,d4</t>
  </si>
  <si>
    <t>自动下载文件</t>
  </si>
  <si>
    <t>下载网址</t>
  </si>
  <si>
    <t>显示字段</t>
  </si>
  <si>
    <t>d1,d2,d3,d4,d5,d6</t>
  </si>
  <si>
    <t>提示字段</t>
  </si>
  <si>
    <r>
      <rPr>
        <sz val="11"/>
        <color theme="1"/>
        <rFont val="宋体"/>
        <charset val="134"/>
      </rPr>
      <t>d1,d2</t>
    </r>
    <r>
      <rPr>
        <sz val="11"/>
        <color theme="1"/>
        <rFont val="宋体"/>
        <charset val="134"/>
      </rPr>
      <t>,d4,d5</t>
    </r>
  </si>
  <si>
    <t>d3</t>
  </si>
  <si>
    <t>d6</t>
  </si>
  <si>
    <t>预算代码</t>
  </si>
  <si>
    <t>支出数</t>
  </si>
  <si>
    <t>金额</t>
  </si>
  <si>
    <t>使用情况</t>
  </si>
  <si>
    <t>支出时间</t>
  </si>
  <si>
    <t>经办人</t>
  </si>
  <si>
    <t>经办人id</t>
  </si>
  <si>
    <t>[12年]5003科研项目费用</t>
  </si>
  <si>
    <t>原因1</t>
  </si>
  <si>
    <t>王1</t>
  </si>
  <si>
    <t>admin</t>
  </si>
  <si>
    <t>[13年]5101设备费</t>
  </si>
  <si>
    <t>王2</t>
  </si>
  <si>
    <t>admin1</t>
  </si>
  <si>
    <t>[13年]5109劳务费</t>
  </si>
  <si>
    <t>原因3</t>
  </si>
  <si>
    <t>王3</t>
  </si>
  <si>
    <t>admin2</t>
  </si>
  <si>
    <t>[13年]5008学术讲座费</t>
  </si>
  <si>
    <t>王4</t>
  </si>
  <si>
    <t>admin3</t>
  </si>
  <si>
    <t>[14年]5110专家咨询费</t>
  </si>
  <si>
    <t>原因5</t>
  </si>
  <si>
    <t>[14年]5003科研项目费用</t>
  </si>
  <si>
    <t>[14年]5008学术讲座费</t>
  </si>
  <si>
    <t>原因7</t>
  </si>
  <si>
    <t>支出</t>
  </si>
  <si>
    <t>原因9</t>
  </si>
  <si>
    <t>原因10</t>
  </si>
  <si>
    <t>原因11</t>
  </si>
  <si>
    <t>原因12</t>
  </si>
  <si>
    <t>原因13</t>
  </si>
  <si>
    <t>原因14</t>
  </si>
  <si>
    <t>原因15</t>
  </si>
  <si>
    <t>原因16</t>
  </si>
  <si>
    <t>原因17</t>
  </si>
  <si>
    <t>原因18</t>
  </si>
  <si>
    <t>原因19</t>
  </si>
  <si>
    <t>原因20</t>
  </si>
  <si>
    <t>原因21</t>
  </si>
  <si>
    <t>原因22</t>
  </si>
  <si>
    <t>经费使用测试汇总</t>
  </si>
  <si>
    <t>不显字段</t>
  </si>
  <si>
    <t>id,wrpw,data1,data2,ord,rpw,name,pid,custom1,custom2,sheetname</t>
  </si>
  <si>
    <t>d7</t>
  </si>
  <si>
    <t>项目类型</t>
  </si>
  <si>
    <t>余额</t>
  </si>
  <si>
    <t>请先在sheet1中指定</t>
  </si>
  <si>
    <t>姓名</t>
  </si>
  <si>
    <t>列</t>
  </si>
  <si>
    <t>方艺某</t>
  </si>
  <si>
    <t>王进1</t>
  </si>
  <si>
    <t>林世峰</t>
  </si>
  <si>
    <t>王进9</t>
  </si>
  <si>
    <t>必须要先设定</t>
  </si>
  <si>
    <t>工号</t>
  </si>
  <si>
    <t>所在的列才能查</t>
  </si>
  <si>
    <t>参</t>
  </si>
  <si>
    <t>数</t>
  </si>
  <si>
    <t>维护人</t>
  </si>
  <si>
    <t>学号/工号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</si>
  <si>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</si>
  <si>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</si>
  <si>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6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</si>
  <si>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8</t>
    </r>
  </si>
  <si>
    <t>d9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</si>
  <si>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10</t>
    </r>
  </si>
  <si>
    <t>d11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</si>
  <si>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12</t>
    </r>
  </si>
  <si>
    <t>d13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</si>
  <si>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14</t>
    </r>
  </si>
  <si>
    <t>d15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</si>
  <si>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16</t>
    </r>
  </si>
  <si>
    <t>d17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</si>
  <si>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18</t>
    </r>
  </si>
  <si>
    <t>d19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</si>
  <si>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20</t>
    </r>
  </si>
  <si>
    <t>d21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</si>
  <si>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22</t>
    </r>
  </si>
  <si>
    <t>d23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</si>
  <si>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24</t>
    </r>
  </si>
  <si>
    <t>d25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</si>
  <si>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26</t>
    </r>
  </si>
  <si>
    <t>d27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</si>
  <si>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28</t>
    </r>
  </si>
  <si>
    <t>d29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</si>
  <si>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30</t>
    </r>
  </si>
  <si>
    <t>d31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</si>
  <si>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32</t>
    </r>
  </si>
  <si>
    <t>d33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</si>
  <si>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34</t>
    </r>
  </si>
  <si>
    <t>d35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</si>
  <si>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36</t>
    </r>
  </si>
  <si>
    <t>d37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</si>
  <si>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38</t>
    </r>
  </si>
  <si>
    <t>d39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</si>
  <si>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40</t>
    </r>
  </si>
  <si>
    <t>d41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</si>
  <si>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42</t>
    </r>
  </si>
  <si>
    <t>d43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</si>
  <si>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44</t>
    </r>
  </si>
  <si>
    <t>d45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</si>
  <si>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46</t>
    </r>
  </si>
  <si>
    <t>d47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</si>
  <si>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48</t>
    </r>
  </si>
  <si>
    <t>d49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</si>
  <si>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50</t>
    </r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</si>
  <si>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</si>
  <si>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</si>
  <si>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</si>
  <si>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</si>
  <si>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</si>
  <si>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</si>
  <si>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B</t>
  </si>
  <si>
    <t>C</t>
  </si>
  <si>
    <t>D</t>
  </si>
  <si>
    <t>E</t>
  </si>
  <si>
    <t>F</t>
  </si>
  <si>
    <t>G</t>
  </si>
  <si>
    <t>d8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</si>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</sst>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</numFmts>
  <fonts count="4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1"/>
      <color theme="3" tint="0.399853511154515"/>
      <name val="宋体"/>
      <charset val="134"/>
      <scheme val="minor"/>
    </font>
    <font>
      <u/>
      <sz val="11"/>
      <color theme="1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8"/>
      <name val="宋体"/>
      <charset val="134"/>
      <scheme val="minor"/>
    </font>
    <font>
      <sz val="10"/>
      <name val="Helv"/>
      <charset val="134"/>
    </font>
    <font>
      <sz val="11"/>
      <name val="宋体"/>
      <charset val="134"/>
    </font>
    <font>
      <b/>
      <sz val="18"/>
      <color rgb="FFFF0000"/>
      <name val="宋体"/>
      <charset val="134"/>
      <scheme val="minor"/>
    </font>
    <font>
      <b/>
      <sz val="11"/>
      <name val="宋体"/>
      <charset val="134"/>
    </font>
    <font>
      <sz val="14"/>
      <name val="宋体"/>
      <charset val="134"/>
      <scheme val="minor"/>
    </font>
    <font>
      <sz val="14"/>
      <color theme="1"/>
      <name val="宋体"/>
      <charset val="134"/>
      <scheme val="minor"/>
    </font>
    <font>
      <sz val="10"/>
      <name val="宋体"/>
      <charset val="134"/>
    </font>
    <font>
      <sz val="11"/>
      <color rgb="FF333333"/>
      <name val="Arial"/>
      <charset val="134"/>
    </font>
    <font>
      <sz val="11"/>
      <name val="宋体"/>
      <charset val="134"/>
      <scheme val="minor"/>
    </font>
    <font>
      <sz val="11"/>
      <color rgb="FF333333"/>
      <name val="宋体"/>
      <charset val="134"/>
    </font>
    <font>
      <sz val="26"/>
      <color theme="1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u/>
      <sz val="9"/>
      <color theme="10"/>
      <name val="宋体"/>
      <charset val="134"/>
      <scheme val="minor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0"/>
      <name val="Arial"/>
      <charset val="134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2"/>
      <name val="宋体"/>
      <charset val="134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1"/>
      <color theme="1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theme="3" tint="0.39985351115451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30" fillId="20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34" borderId="12" applyNumberFormat="0" applyFont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8" fillId="0" borderId="6" applyNumberFormat="0" applyFill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37" fillId="23" borderId="11" applyNumberFormat="0" applyAlignment="0" applyProtection="0">
      <alignment vertical="center"/>
    </xf>
    <xf numFmtId="0" fontId="32" fillId="23" borderId="7" applyNumberFormat="0" applyAlignment="0" applyProtection="0">
      <alignment vertical="center"/>
    </xf>
    <xf numFmtId="0" fontId="25" fillId="14" borderId="5" applyNumberFormat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33" fillId="0" borderId="8" applyNumberFormat="0" applyFill="0" applyAlignment="0" applyProtection="0">
      <alignment vertical="center"/>
    </xf>
    <xf numFmtId="0" fontId="34" fillId="0" borderId="9" applyNumberFormat="0" applyFill="0" applyAlignment="0" applyProtection="0">
      <alignment vertical="center"/>
    </xf>
    <xf numFmtId="0" fontId="39" fillId="3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36" fillId="0" borderId="0"/>
    <xf numFmtId="0" fontId="31" fillId="0" borderId="0"/>
    <xf numFmtId="0" fontId="1" fillId="0" borderId="0">
      <alignment vertical="center"/>
    </xf>
  </cellStyleXfs>
  <cellXfs count="99">
    <xf numFmtId="0" fontId="0" fillId="0" borderId="0" xfId="0">
      <alignment vertical="center"/>
    </xf>
    <xf numFmtId="0" fontId="1" fillId="0" borderId="1" xfId="51" applyBorder="1" applyAlignment="1">
      <alignment vertical="center" shrinkToFit="1"/>
    </xf>
    <xf numFmtId="0" fontId="1" fillId="0" borderId="0" xfId="51" applyBorder="1" applyAlignment="1">
      <alignment vertical="center" shrinkToFit="1"/>
    </xf>
    <xf numFmtId="0" fontId="1" fillId="0" borderId="0" xfId="51" applyAlignment="1">
      <alignment horizontal="left" vertical="center" shrinkToFit="1"/>
    </xf>
    <xf numFmtId="0" fontId="1" fillId="0" borderId="0" xfId="51" applyAlignment="1">
      <alignment vertical="center" shrinkToFit="1"/>
    </xf>
    <xf numFmtId="0" fontId="1" fillId="0" borderId="0" xfId="51" applyFill="1" applyAlignment="1">
      <alignment vertical="center" shrinkToFit="1"/>
    </xf>
    <xf numFmtId="0" fontId="1" fillId="2" borderId="0" xfId="51" applyFill="1" applyAlignment="1">
      <alignment vertical="center" shrinkToFit="1"/>
    </xf>
    <xf numFmtId="0" fontId="1" fillId="0" borderId="0" xfId="51" applyBorder="1" applyAlignment="1">
      <alignment horizontal="left" vertical="center" shrinkToFit="1"/>
    </xf>
    <xf numFmtId="0" fontId="1" fillId="0" borderId="0" xfId="51" applyBorder="1" applyAlignment="1">
      <alignment horizontal="center" vertical="center" shrinkToFit="1"/>
    </xf>
    <xf numFmtId="0" fontId="2" fillId="0" borderId="0" xfId="51" applyFont="1" applyBorder="1" applyAlignment="1">
      <alignment horizontal="center" vertical="center" shrinkToFit="1"/>
    </xf>
    <xf numFmtId="0" fontId="2" fillId="0" borderId="0" xfId="51" applyFont="1" applyBorder="1" applyAlignment="1">
      <alignment vertical="center" shrinkToFit="1"/>
    </xf>
    <xf numFmtId="0" fontId="1" fillId="2" borderId="0" xfId="51" applyFill="1" applyBorder="1" applyAlignment="1">
      <alignment vertical="center" shrinkToFit="1"/>
    </xf>
    <xf numFmtId="0" fontId="0" fillId="0" borderId="0" xfId="51" applyFont="1" applyBorder="1" applyAlignment="1">
      <alignment horizontal="center" vertical="center" shrinkToFit="1"/>
    </xf>
    <xf numFmtId="0" fontId="0" fillId="0" borderId="0" xfId="51" applyFont="1" applyFill="1" applyBorder="1" applyAlignment="1">
      <alignment horizontal="center" vertical="center" shrinkToFit="1"/>
    </xf>
    <xf numFmtId="0" fontId="0" fillId="3" borderId="0" xfId="51" applyFont="1" applyFill="1" applyBorder="1" applyAlignment="1">
      <alignment horizontal="center" vertical="center" shrinkToFit="1"/>
    </xf>
    <xf numFmtId="0" fontId="0" fillId="2" borderId="0" xfId="51" applyFont="1" applyFill="1" applyBorder="1" applyAlignment="1">
      <alignment vertical="center" shrinkToFit="1"/>
    </xf>
    <xf numFmtId="0" fontId="0" fillId="0" borderId="0" xfId="51" applyFont="1" applyBorder="1" applyAlignment="1">
      <alignment horizontal="left" vertical="center" shrinkToFit="1"/>
    </xf>
    <xf numFmtId="0" fontId="3" fillId="0" borderId="0" xfId="10" applyBorder="1" applyAlignment="1">
      <alignment vertical="center" shrinkToFit="1"/>
    </xf>
    <xf numFmtId="0" fontId="4" fillId="0" borderId="1" xfId="51" applyFont="1" applyBorder="1" applyAlignment="1">
      <alignment horizontal="left" vertical="center" shrinkToFit="1"/>
    </xf>
    <xf numFmtId="0" fontId="0" fillId="0" borderId="1" xfId="51" applyFont="1" applyBorder="1" applyAlignment="1">
      <alignment horizontal="center" vertical="center" shrinkToFit="1"/>
    </xf>
    <xf numFmtId="0" fontId="3" fillId="0" borderId="1" xfId="10" applyBorder="1" applyAlignment="1">
      <alignment vertical="center" shrinkToFit="1"/>
    </xf>
    <xf numFmtId="0" fontId="1" fillId="0" borderId="1" xfId="51" applyBorder="1" applyAlignment="1">
      <alignment horizontal="center" vertical="center" shrinkToFit="1"/>
    </xf>
    <xf numFmtId="0" fontId="0" fillId="2" borderId="1" xfId="51" applyFont="1" applyFill="1" applyBorder="1" applyAlignment="1">
      <alignment vertical="center" shrinkToFit="1"/>
    </xf>
    <xf numFmtId="0" fontId="5" fillId="0" borderId="0" xfId="51" applyFont="1" applyBorder="1" applyAlignment="1">
      <alignment horizontal="left" vertical="center" shrinkToFit="1"/>
    </xf>
    <xf numFmtId="0" fontId="0" fillId="0" borderId="0" xfId="51" applyFont="1" applyFill="1" applyBorder="1" applyAlignment="1">
      <alignment vertical="center" shrinkToFit="1"/>
    </xf>
    <xf numFmtId="0" fontId="5" fillId="0" borderId="0" xfId="51" applyFont="1" applyBorder="1" applyAlignment="1">
      <alignment vertical="center" shrinkToFit="1"/>
    </xf>
    <xf numFmtId="0" fontId="5" fillId="0" borderId="0" xfId="51" applyFont="1" applyFill="1" applyBorder="1" applyAlignment="1">
      <alignment vertical="center" shrinkToFit="1"/>
    </xf>
    <xf numFmtId="0" fontId="5" fillId="0" borderId="0" xfId="51" applyFont="1" applyAlignment="1">
      <alignment horizontal="left" vertical="center" shrinkToFit="1"/>
    </xf>
    <xf numFmtId="0" fontId="5" fillId="0" borderId="0" xfId="51" applyFont="1" applyAlignment="1">
      <alignment vertical="center" shrinkToFit="1"/>
    </xf>
    <xf numFmtId="0" fontId="0" fillId="0" borderId="0" xfId="51" applyFont="1" applyFill="1" applyAlignment="1">
      <alignment vertical="center" shrinkToFit="1"/>
    </xf>
    <xf numFmtId="0" fontId="5" fillId="0" borderId="0" xfId="51" applyFont="1" applyFill="1" applyAlignment="1">
      <alignment vertical="center" shrinkToFit="1"/>
    </xf>
    <xf numFmtId="0" fontId="0" fillId="2" borderId="0" xfId="51" applyFont="1" applyFill="1" applyAlignment="1">
      <alignment vertical="center" shrinkToFit="1"/>
    </xf>
    <xf numFmtId="0" fontId="0" fillId="0" borderId="0" xfId="51" applyFont="1" applyBorder="1" applyAlignment="1">
      <alignment vertical="center" shrinkToFit="1"/>
    </xf>
    <xf numFmtId="0" fontId="1" fillId="0" borderId="0" xfId="51" applyFill="1" applyBorder="1" applyAlignment="1">
      <alignment horizontal="center" vertical="center" shrinkToFit="1"/>
    </xf>
    <xf numFmtId="0" fontId="0" fillId="0" borderId="0" xfId="51" applyFont="1" applyAlignment="1">
      <alignment vertical="center" shrinkToFit="1"/>
    </xf>
    <xf numFmtId="0" fontId="6" fillId="0" borderId="0" xfId="51" applyNumberFormat="1" applyFont="1" applyAlignment="1">
      <alignment horizontal="left" vertical="center"/>
    </xf>
    <xf numFmtId="0" fontId="1" fillId="0" borderId="2" xfId="51" applyNumberFormat="1" applyBorder="1" applyAlignment="1">
      <alignment vertical="center" shrinkToFit="1"/>
    </xf>
    <xf numFmtId="0" fontId="7" fillId="0" borderId="0" xfId="51" applyNumberFormat="1" applyFont="1" applyAlignment="1">
      <alignment horizontal="center" shrinkToFit="1"/>
    </xf>
    <xf numFmtId="0" fontId="0" fillId="0" borderId="0" xfId="51" applyNumberFormat="1" applyFont="1" applyAlignment="1">
      <alignment shrinkToFit="1"/>
    </xf>
    <xf numFmtId="0" fontId="8" fillId="0" borderId="0" xfId="51" applyNumberFormat="1" applyFont="1" applyFill="1" applyBorder="1" applyAlignment="1">
      <alignment horizontal="center" vertical="center" shrinkToFit="1"/>
    </xf>
    <xf numFmtId="0" fontId="0" fillId="0" borderId="0" xfId="51" applyNumberFormat="1" applyFont="1" applyAlignment="1">
      <alignment horizontal="center" shrinkToFit="1"/>
    </xf>
    <xf numFmtId="0" fontId="1" fillId="0" borderId="0" xfId="51" applyNumberFormat="1" applyAlignment="1">
      <alignment vertical="center" shrinkToFit="1"/>
    </xf>
    <xf numFmtId="0" fontId="9" fillId="0" borderId="0" xfId="51" applyNumberFormat="1" applyFont="1" applyAlignment="1">
      <alignment horizontal="left" vertical="center"/>
    </xf>
    <xf numFmtId="0" fontId="10" fillId="0" borderId="2" xfId="51" applyNumberFormat="1" applyFont="1" applyBorder="1" applyAlignment="1">
      <alignment horizontal="center" vertical="center" shrinkToFit="1"/>
    </xf>
    <xf numFmtId="49" fontId="10" fillId="0" borderId="2" xfId="51" applyNumberFormat="1" applyFont="1" applyFill="1" applyBorder="1" applyAlignment="1">
      <alignment horizontal="center" vertical="center" shrinkToFit="1"/>
    </xf>
    <xf numFmtId="0" fontId="0" fillId="0" borderId="0" xfId="51" applyNumberFormat="1" applyFont="1" applyBorder="1" applyAlignment="1">
      <alignment horizontal="center" vertical="center" shrinkToFit="1"/>
    </xf>
    <xf numFmtId="0" fontId="7" fillId="0" borderId="0" xfId="51" applyFont="1" applyAlignment="1">
      <alignment horizontal="center" shrinkToFit="1"/>
    </xf>
    <xf numFmtId="0" fontId="0" fillId="0" borderId="0" xfId="51" applyFont="1" applyAlignment="1">
      <alignment shrinkToFit="1"/>
    </xf>
    <xf numFmtId="0" fontId="8" fillId="0" borderId="0" xfId="51" applyFont="1" applyFill="1" applyBorder="1" applyAlignment="1">
      <alignment horizontal="center" vertical="center" shrinkToFit="1"/>
    </xf>
    <xf numFmtId="0" fontId="0" fillId="0" borderId="0" xfId="51" applyFont="1" applyAlignment="1">
      <alignment horizontal="center" shrinkToFit="1"/>
    </xf>
    <xf numFmtId="0" fontId="11" fillId="0" borderId="0" xfId="51" applyNumberFormat="1" applyFont="1" applyAlignment="1">
      <alignment horizontal="left" vertical="center"/>
    </xf>
    <xf numFmtId="0" fontId="12" fillId="3" borderId="0" xfId="51" applyNumberFormat="1" applyFont="1" applyFill="1" applyAlignment="1">
      <alignment horizontal="center" vertical="center"/>
    </xf>
    <xf numFmtId="0" fontId="10" fillId="0" borderId="2" xfId="51" applyNumberFormat="1" applyFont="1" applyFill="1" applyBorder="1" applyAlignment="1">
      <alignment horizontal="center" vertical="center" shrinkToFit="1"/>
    </xf>
    <xf numFmtId="49" fontId="7" fillId="0" borderId="0" xfId="51" applyNumberFormat="1" applyFont="1" applyAlignment="1">
      <alignment horizontal="center" shrinkToFit="1"/>
    </xf>
    <xf numFmtId="49" fontId="13" fillId="0" borderId="0" xfId="51" applyNumberFormat="1" applyFont="1" applyAlignment="1">
      <alignment horizont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4" fillId="4" borderId="0" xfId="0" applyNumberFormat="1" applyFont="1" applyFill="1" applyBorder="1" applyAlignment="1">
      <alignment horizontal="center" vertical="center" wrapText="1" shrinkToFit="1"/>
    </xf>
    <xf numFmtId="0" fontId="0" fillId="5" borderId="0" xfId="0" applyNumberForma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0" fillId="3" borderId="0" xfId="0" applyNumberFormat="1" applyFont="1" applyFill="1" applyBorder="1" applyAlignment="1">
      <alignment horizontal="center" vertical="center" shrinkToFit="1"/>
    </xf>
    <xf numFmtId="0" fontId="2" fillId="0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Border="1" applyAlignment="1">
      <alignment horizontal="center" vertical="center" shrinkToFit="1"/>
    </xf>
    <xf numFmtId="0" fontId="0" fillId="6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5" fillId="0" borderId="0" xfId="0" applyNumberFormat="1" applyFont="1" applyFill="1" applyBorder="1" applyAlignment="1">
      <alignment horizontal="center" vertical="center" shrinkToFit="1"/>
    </xf>
    <xf numFmtId="0" fontId="15" fillId="7" borderId="0" xfId="0" applyNumberFormat="1" applyFont="1" applyFill="1" applyBorder="1" applyAlignment="1">
      <alignment horizontal="center" vertical="center" shrinkToFit="1"/>
    </xf>
    <xf numFmtId="0" fontId="0" fillId="7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Alignment="1">
      <alignment vertical="center" shrinkToFit="1"/>
    </xf>
    <xf numFmtId="0" fontId="14" fillId="0" borderId="0" xfId="0" applyNumberFormat="1" applyFont="1" applyAlignment="1" applyProtection="1">
      <alignment horizontal="center" vertical="center" wrapText="1"/>
    </xf>
    <xf numFmtId="0" fontId="14" fillId="0" borderId="0" xfId="0" applyNumberFormat="1" applyFont="1" applyAlignment="1" applyProtection="1">
      <alignment horizontal="center" vertical="center" wrapText="1" shrinkToFit="1"/>
    </xf>
    <xf numFmtId="0" fontId="14" fillId="0" borderId="0" xfId="0" applyNumberFormat="1" applyFont="1" applyFill="1" applyAlignment="1">
      <alignment horizontal="center" vertical="center" wrapText="1"/>
    </xf>
    <xf numFmtId="0" fontId="16" fillId="5" borderId="0" xfId="0" applyNumberFormat="1" applyFont="1" applyFill="1" applyBorder="1" applyAlignment="1">
      <alignment horizontal="center" vertical="center" wrapText="1" shrinkToFit="1"/>
    </xf>
    <xf numFmtId="0" fontId="14" fillId="5" borderId="0" xfId="0" applyNumberFormat="1" applyFont="1" applyFill="1" applyBorder="1" applyAlignment="1">
      <alignment horizontal="center" vertical="center" wrapText="1" shrinkToFit="1"/>
    </xf>
    <xf numFmtId="176" fontId="14" fillId="0" borderId="3" xfId="0" applyNumberFormat="1" applyFont="1" applyBorder="1" applyAlignment="1">
      <alignment horizontal="center" vertical="center" shrinkToFit="1"/>
    </xf>
    <xf numFmtId="0" fontId="5" fillId="0" borderId="0" xfId="0" applyNumberFormat="1" applyFont="1" applyFill="1" applyAlignment="1">
      <alignment horizontal="center" vertical="center" shrinkToFit="1"/>
    </xf>
    <xf numFmtId="0" fontId="17" fillId="0" borderId="0" xfId="0" applyNumberFormat="1" applyFont="1" applyFill="1" applyAlignment="1">
      <alignment horizontal="center" vertical="center" shrinkToFit="1"/>
    </xf>
    <xf numFmtId="0" fontId="18" fillId="0" borderId="0" xfId="10" applyNumberFormat="1" applyFont="1" applyBorder="1" applyAlignment="1">
      <alignment horizontal="center" vertical="center" shrinkToFit="1"/>
    </xf>
    <xf numFmtId="0" fontId="3" fillId="0" borderId="0" xfId="10" applyNumberFormat="1">
      <alignment vertical="center"/>
    </xf>
    <xf numFmtId="0" fontId="3" fillId="0" borderId="0" xfId="10" applyNumberFormat="1" applyBorder="1" applyAlignment="1">
      <alignment horizontal="center" vertical="center" shrinkToFit="1"/>
    </xf>
    <xf numFmtId="0" fontId="19" fillId="0" borderId="0" xfId="10" applyNumberFormat="1" applyFont="1" applyBorder="1" applyAlignment="1">
      <alignment horizontal="center" vertical="center" shrinkToFit="1"/>
    </xf>
    <xf numFmtId="0" fontId="0" fillId="0" borderId="0" xfId="0" applyNumberFormat="1" applyFont="1" applyAlignment="1">
      <alignment horizontal="center" vertical="center" shrinkToFit="1"/>
    </xf>
    <xf numFmtId="0" fontId="3" fillId="0" borderId="0" xfId="10" applyNumberFormat="1" applyAlignment="1">
      <alignment horizontal="center" vertical="center" shrinkToFit="1"/>
    </xf>
    <xf numFmtId="0" fontId="4" fillId="0" borderId="0" xfId="0" applyNumberFormat="1" applyFont="1" applyAlignment="1">
      <alignment horizontal="center" vertical="center" shrinkToFit="1"/>
    </xf>
    <xf numFmtId="0" fontId="0" fillId="6" borderId="0" xfId="0" applyNumberFormat="1" applyFont="1" applyFill="1" applyAlignment="1">
      <alignment horizontal="center" vertical="center" shrinkToFit="1"/>
    </xf>
    <xf numFmtId="0" fontId="14" fillId="0" borderId="3" xfId="0" applyNumberFormat="1" applyFont="1" applyFill="1" applyBorder="1" applyAlignment="1">
      <alignment horizontal="center" vertical="center" shrinkToFit="1"/>
    </xf>
    <xf numFmtId="0" fontId="14" fillId="0" borderId="3" xfId="0" applyNumberFormat="1" applyFont="1" applyFill="1" applyBorder="1" applyAlignment="1" applyProtection="1">
      <alignment horizontal="center" vertical="center" shrinkToFit="1"/>
    </xf>
    <xf numFmtId="0" fontId="16" fillId="0" borderId="0" xfId="0" applyNumberFormat="1" applyFont="1" applyBorder="1" applyAlignment="1" applyProtection="1">
      <alignment horizontal="center" vertical="center" shrinkToFit="1"/>
    </xf>
    <xf numFmtId="0" fontId="14" fillId="0" borderId="4" xfId="0" applyNumberFormat="1" applyFont="1" applyBorder="1" applyAlignment="1">
      <alignment horizontal="center" vertical="center" shrinkToFit="1"/>
    </xf>
    <xf numFmtId="0" fontId="14" fillId="0" borderId="0" xfId="0" applyNumberFormat="1" applyFont="1" applyAlignment="1" applyProtection="1">
      <alignment horizontal="center" vertical="center" shrinkToFit="1"/>
    </xf>
    <xf numFmtId="0" fontId="14" fillId="0" borderId="0" xfId="0" applyNumberFormat="1" applyFont="1" applyBorder="1" applyAlignment="1" applyProtection="1">
      <alignment horizontal="center" vertical="center" shrinkToFit="1"/>
    </xf>
    <xf numFmtId="0" fontId="14" fillId="0" borderId="3" xfId="0" applyNumberFormat="1" applyFont="1" applyBorder="1" applyAlignment="1">
      <alignment horizontal="center" vertical="center" shrinkToFit="1"/>
    </xf>
    <xf numFmtId="0" fontId="1" fillId="0" borderId="0" xfId="0" applyNumberFormat="1" applyFont="1" applyAlignment="1">
      <alignment horizontal="center" vertical="center" shrinkToFit="1"/>
    </xf>
    <xf numFmtId="0" fontId="14" fillId="0" borderId="0" xfId="0" applyNumberFormat="1" applyFont="1" applyFill="1" applyAlignment="1">
      <alignment horizontal="center" vertical="center" shrinkToFit="1"/>
    </xf>
    <xf numFmtId="0" fontId="14" fillId="0" borderId="0" xfId="0" applyNumberFormat="1" applyFont="1" applyFill="1" applyBorder="1" applyAlignment="1">
      <alignment horizontal="center" vertical="center" shrinkToFit="1"/>
    </xf>
    <xf numFmtId="0" fontId="14" fillId="0" borderId="0" xfId="0" applyNumberFormat="1" applyFont="1" applyAlignment="1">
      <alignment horizontal="center" vertical="center" shrinkToFit="1"/>
    </xf>
    <xf numFmtId="0" fontId="14" fillId="0" borderId="0" xfId="0" applyNumberFormat="1" applyFont="1" applyFill="1" applyBorder="1" applyAlignment="1">
      <alignment horizontal="center" vertical="center" wrapText="1" shrinkToFit="1"/>
    </xf>
    <xf numFmtId="0" fontId="0" fillId="0" borderId="0" xfId="0" applyNumberFormat="1" applyFont="1" applyBorder="1" applyAlignment="1" quotePrefix="1">
      <alignment horizontal="center" vertical="center" shrinkToFi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gcd" xfId="49"/>
    <cellStyle name="常规 2" xfId="50"/>
    <cellStyle name="常规 3" xfId="51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connections" Target="connection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1009650</xdr:colOff>
          <xdr:row>1</xdr:row>
          <xdr:rowOff>180975</xdr:rowOff>
        </xdr:to>
        <xdr:sp macro="[0]!UploadExcel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7943850" y="0"/>
              <a:ext cx="1000125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0</xdr:row>
          <xdr:rowOff>0</xdr:rowOff>
        </xdr:from>
        <xdr:to>
          <xdr:col>7</xdr:col>
          <xdr:colOff>266700</xdr:colOff>
          <xdr:row>1</xdr:row>
          <xdr:rowOff>180975</xdr:rowOff>
        </xdr:to>
        <xdr:sp macro="[0]!UpdateBySheet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7172325" y="0"/>
              <a:ext cx="1028700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0</xdr:row>
          <xdr:rowOff>0</xdr:rowOff>
        </xdr:from>
        <xdr:to>
          <xdr:col>12</xdr:col>
          <xdr:colOff>247650</xdr:colOff>
          <xdr:row>1</xdr:row>
          <xdr:rowOff>171450</xdr:rowOff>
        </xdr:to>
        <xdr:sp macro="[0]!updatesheet2">
          <xdr:nvSpPr>
            <xdr:cNvPr id="9233" name="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10563225" y="0"/>
              <a:ext cx="1076325" cy="35496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更新Sheet2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2</xdr:row>
          <xdr:rowOff>0</xdr:rowOff>
        </xdr:to>
        <xdr:sp macro="[0]!UploadExcel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8943975" y="0"/>
              <a:ext cx="676275" cy="3670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0</xdr:row>
          <xdr:rowOff>0</xdr:rowOff>
        </xdr:from>
        <xdr:to>
          <xdr:col>6</xdr:col>
          <xdr:colOff>1000125</xdr:colOff>
          <xdr:row>2</xdr:row>
          <xdr:rowOff>0</xdr:rowOff>
        </xdr:to>
        <xdr:sp macro="[0]!UpdateBySheet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7639050" y="0"/>
              <a:ext cx="714375" cy="3670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57150</xdr:rowOff>
        </xdr:from>
        <xdr:to>
          <xdr:col>9</xdr:col>
          <xdr:colOff>0</xdr:colOff>
          <xdr:row>0</xdr:row>
          <xdr:rowOff>352425</xdr:rowOff>
        </xdr:to>
        <xdr:sp macro="[0]!LilyVlookup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7010400" y="57150"/>
              <a:ext cx="1762125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基于数据库的Vlookup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[0]!UpdateBySheet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276225" y="476250"/>
              <a:ext cx="2381250" cy="4095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更新现有数据库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893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2.xml><?xml version="1.0" encoding="utf-8"?>
<queryTable xmlns="http://schemas.openxmlformats.org/spreadsheetml/2006/main" name="ExternalData_9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.xml><?xml version="1.0" encoding="utf-8"?>
<queryTable xmlns="http://schemas.openxmlformats.org/spreadsheetml/2006/main" name="ExternalData_10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.xml><?xml version="1.0" encoding="utf-8"?>
<queryTable xmlns="http://schemas.openxmlformats.org/spreadsheetml/2006/main" name="ExternalData_4" adjustColumnWidth="0" connectionId="10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5.xml><?xml version="1.0" encoding="utf-8"?>
<queryTable xmlns="http://schemas.openxmlformats.org/spreadsheetml/2006/main" name="ExternalData_13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.xml><?xml version="1.0" encoding="utf-8"?>
<queryTable xmlns="http://schemas.openxmlformats.org/spreadsheetml/2006/main" name="ExternalData_27" adjustColumnWidth="0" connectionId="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7.xml><?xml version="1.0" encoding="utf-8"?>
<queryTable xmlns="http://schemas.openxmlformats.org/spreadsheetml/2006/main" name="ExternalData_28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8.xml><?xml version="1.0" encoding="utf-8"?>
<queryTable xmlns="http://schemas.openxmlformats.org/spreadsheetml/2006/main" name="ExternalData_11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9.xml><?xml version="1.0" encoding="utf-8"?>
<queryTable xmlns="http://schemas.openxmlformats.org/spreadsheetml/2006/main" name="ExternalData_3" adjustColumnWidth="0" connectionId="7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10.xml><?xml version="1.0" encoding="utf-8"?>
<queryTable xmlns="http://schemas.openxmlformats.org/spreadsheetml/2006/main" name="ExternalData_2" adjustColumnWidth="0" connectionId="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1.xml><?xml version="1.0" encoding="utf-8"?>
<queryTable xmlns="http://schemas.openxmlformats.org/spreadsheetml/2006/main" name="ExternalData_8" adjustColumnWidth="0" connectionId="1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2.xml><?xml version="1.0" encoding="utf-8"?>
<queryTable xmlns="http://schemas.openxmlformats.org/spreadsheetml/2006/main" name="ExternalData_30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3.xml><?xml version="1.0" encoding="utf-8"?>
<queryTable xmlns="http://schemas.openxmlformats.org/spreadsheetml/2006/main" name="ExternalData_29" adjustColumnWidth="0" connectionId="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4.xml><?xml version="1.0" encoding="utf-8"?>
<queryTable xmlns="http://schemas.openxmlformats.org/spreadsheetml/2006/main" name="ExternalData_31" adjustColumnWidth="0" connectionId="1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5.xml><?xml version="1.0" encoding="utf-8"?>
<queryTable xmlns="http://schemas.openxmlformats.org/spreadsheetml/2006/main" name="ExternalData_32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6.xml><?xml version="1.0" encoding="utf-8"?>
<queryTable xmlns="http://schemas.openxmlformats.org/spreadsheetml/2006/main" name="ExternalData_12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7.xml><?xml version="1.0" encoding="utf-8"?>
<queryTable xmlns="http://schemas.openxmlformats.org/spreadsheetml/2006/main" name="ExternalData_26" adjustColumnWidth="0" connectionId="4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18.xml><?xml version="1.0" encoding="utf-8"?>
<queryTable xmlns="http://schemas.openxmlformats.org/spreadsheetml/2006/main" name="ExternalData_5" adjustColumnWidth="0" connectionId="13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19.xml><?xml version="1.0" encoding="utf-8"?>
<queryTable xmlns="http://schemas.openxmlformats.org/spreadsheetml/2006/main" name="ExternalData_1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20.xml><?xml version="1.0" encoding="utf-8"?>
<queryTable xmlns="http://schemas.openxmlformats.org/spreadsheetml/2006/main" name="ExternalData_23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1.xml><?xml version="1.0" encoding="utf-8"?>
<queryTable xmlns="http://schemas.openxmlformats.org/spreadsheetml/2006/main" name="ExternalData_6" adjustColumnWidth="0" connectionId="14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22.xml><?xml version="1.0" encoding="utf-8"?>
<queryTable xmlns="http://schemas.openxmlformats.org/spreadsheetml/2006/main" name="ExternalData_7" adjustColumnWidth="0" connectionId="1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3.xml><?xml version="1.0" encoding="utf-8"?>
<queryTable xmlns="http://schemas.openxmlformats.org/spreadsheetml/2006/main" name="ExternalData_24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4.xml><?xml version="1.0" encoding="utf-8"?>
<queryTable xmlns="http://schemas.openxmlformats.org/spreadsheetml/2006/main" name="ExternalData_22" adjustColumnWidth="0" connectionId="2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7" Type="http://schemas.openxmlformats.org/officeDocument/2006/relationships/hyperlink" Target="http://aa.r34.cc/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hyperlink" Target="http://aa.r34.cc/" TargetMode="Externa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6.xml"/><Relationship Id="rId8" Type="http://schemas.openxmlformats.org/officeDocument/2006/relationships/queryTable" Target="../queryTables/queryTable5.xml"/><Relationship Id="rId7" Type="http://schemas.openxmlformats.org/officeDocument/2006/relationships/queryTable" Target="../queryTables/queryTable4.xml"/><Relationship Id="rId6" Type="http://schemas.openxmlformats.org/officeDocument/2006/relationships/queryTable" Target="../queryTables/queryTable3.xml"/><Relationship Id="rId5" Type="http://schemas.openxmlformats.org/officeDocument/2006/relationships/queryTable" Target="../queryTables/queryTable2.xml"/><Relationship Id="rId4" Type="http://schemas.openxmlformats.org/officeDocument/2006/relationships/hyperlink" Target="http://api.r34.cc/index.php/Qwadmin/Rwxy/echosheetname?" TargetMode="External"/><Relationship Id="rId3" Type="http://schemas.openxmlformats.org/officeDocument/2006/relationships/ctrlProp" Target="../ctrlProps/ctrlProp7.xml"/><Relationship Id="rId27" Type="http://schemas.openxmlformats.org/officeDocument/2006/relationships/queryTable" Target="../queryTables/queryTable24.xml"/><Relationship Id="rId26" Type="http://schemas.openxmlformats.org/officeDocument/2006/relationships/queryTable" Target="../queryTables/queryTable23.xml"/><Relationship Id="rId25" Type="http://schemas.openxmlformats.org/officeDocument/2006/relationships/queryTable" Target="../queryTables/queryTable22.xml"/><Relationship Id="rId24" Type="http://schemas.openxmlformats.org/officeDocument/2006/relationships/queryTable" Target="../queryTables/queryTable21.xml"/><Relationship Id="rId23" Type="http://schemas.openxmlformats.org/officeDocument/2006/relationships/queryTable" Target="../queryTables/queryTable20.xml"/><Relationship Id="rId22" Type="http://schemas.openxmlformats.org/officeDocument/2006/relationships/queryTable" Target="../queryTables/queryTable19.xml"/><Relationship Id="rId21" Type="http://schemas.openxmlformats.org/officeDocument/2006/relationships/queryTable" Target="../queryTables/queryTable18.xml"/><Relationship Id="rId20" Type="http://schemas.openxmlformats.org/officeDocument/2006/relationships/queryTable" Target="../queryTables/queryTable17.xml"/><Relationship Id="rId2" Type="http://schemas.openxmlformats.org/officeDocument/2006/relationships/vmlDrawing" Target="../drawings/vmlDrawing4.vml"/><Relationship Id="rId19" Type="http://schemas.openxmlformats.org/officeDocument/2006/relationships/queryTable" Target="../queryTables/queryTable16.xml"/><Relationship Id="rId18" Type="http://schemas.openxmlformats.org/officeDocument/2006/relationships/queryTable" Target="../queryTables/queryTable15.xml"/><Relationship Id="rId17" Type="http://schemas.openxmlformats.org/officeDocument/2006/relationships/queryTable" Target="../queryTables/queryTable14.xml"/><Relationship Id="rId16" Type="http://schemas.openxmlformats.org/officeDocument/2006/relationships/queryTable" Target="../queryTables/queryTable13.xml"/><Relationship Id="rId15" Type="http://schemas.openxmlformats.org/officeDocument/2006/relationships/queryTable" Target="../queryTables/queryTable12.xml"/><Relationship Id="rId14" Type="http://schemas.openxmlformats.org/officeDocument/2006/relationships/queryTable" Target="../queryTables/queryTable11.xml"/><Relationship Id="rId13" Type="http://schemas.openxmlformats.org/officeDocument/2006/relationships/queryTable" Target="../queryTables/queryTable10.xml"/><Relationship Id="rId12" Type="http://schemas.openxmlformats.org/officeDocument/2006/relationships/queryTable" Target="../queryTables/queryTable9.xml"/><Relationship Id="rId11" Type="http://schemas.openxmlformats.org/officeDocument/2006/relationships/queryTable" Target="../queryTables/queryTable8.xml"/><Relationship Id="rId10" Type="http://schemas.openxmlformats.org/officeDocument/2006/relationships/queryTable" Target="../queryTables/queryTable7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X1325"/>
  <sheetViews>
    <sheetView tabSelected="1" zoomScale="115" zoomScaleNormal="115" workbookViewId="0">
      <selection activeCell="A4" sqref="A4"/>
    </sheetView>
  </sheetViews>
  <sheetFormatPr defaultColWidth="9" defaultRowHeight="13.5"/>
  <cols>
    <col min="1" max="1" width="21.5" style="59" customWidth="1"/>
    <col min="2" max="2" width="12.125" style="59" customWidth="1"/>
    <col min="3" max="3" width="16.875" style="59" customWidth="1"/>
    <col min="4" max="4" width="12.625" style="58" customWidth="1"/>
    <col min="5" max="5" width="13" style="59" customWidth="1"/>
    <col min="6" max="6" width="14.25" style="59" customWidth="1"/>
    <col min="7" max="7" width="13.75" style="59" customWidth="1"/>
    <col min="8" max="8" width="15.375" style="59" customWidth="1"/>
    <col min="9" max="9" width="3.5" style="59" customWidth="1"/>
    <col min="10" max="10" width="14.25" style="59" customWidth="1"/>
    <col min="11" max="11" width="2.5" style="59" customWidth="1"/>
    <col min="12" max="12" width="9.75" style="59" customWidth="1"/>
    <col min="13" max="13" width="14.125" style="59" customWidth="1"/>
    <col min="14" max="14" width="6.5" style="59" customWidth="1"/>
    <col min="15" max="15" width="6.625" style="59" customWidth="1"/>
    <col min="16" max="16" width="11.75" style="59" customWidth="1"/>
    <col min="17" max="17" width="7.5" style="59" customWidth="1"/>
    <col min="18" max="18" width="8" style="59" customWidth="1"/>
    <col min="19" max="19" width="7.75" style="59" customWidth="1"/>
    <col min="20" max="20" width="6.375" style="59" customWidth="1"/>
    <col min="21" max="21" width="9" style="59"/>
    <col min="22" max="28" width="8.125" style="59" customWidth="1"/>
    <col min="29" max="16384" width="9" style="59"/>
  </cols>
  <sheetData>
    <row r="1" ht="14.45" customHeight="1" spans="1:19">
      <c r="A1" s="60" t="s">
        <v>0</v>
      </c>
      <c r="B1" s="61" t="s">
        <v>1</v>
      </c>
      <c r="C1" s="62" t="s">
        <v>2</v>
      </c>
      <c r="D1" s="63"/>
      <c r="E1" s="64" t="s">
        <v>3</v>
      </c>
      <c r="F1" s="62" t="s">
        <v>4</v>
      </c>
      <c r="I1" s="60"/>
      <c r="J1" s="60"/>
      <c r="K1" s="60"/>
      <c r="P1" s="60"/>
      <c r="Q1" s="60" t="s">
        <v>5</v>
      </c>
      <c r="R1" s="61" t="s">
        <v>6</v>
      </c>
      <c r="S1" s="59">
        <v>20190101</v>
      </c>
    </row>
    <row r="2" ht="14.45" customHeight="1" spans="1:19">
      <c r="A2" s="60" t="s">
        <v>5</v>
      </c>
      <c r="B2" s="61" t="s">
        <v>6</v>
      </c>
      <c r="C2" s="59">
        <v>20190101</v>
      </c>
      <c r="D2" s="55"/>
      <c r="E2" s="64" t="s">
        <v>7</v>
      </c>
      <c r="F2" s="62" t="s">
        <v>8</v>
      </c>
      <c r="G2" s="61"/>
      <c r="H2" s="60"/>
      <c r="I2" s="61" t="s">
        <v>9</v>
      </c>
      <c r="J2" s="61" t="s">
        <v>10</v>
      </c>
      <c r="K2" s="60"/>
      <c r="N2" s="60"/>
      <c r="O2" s="60"/>
      <c r="P2" s="60"/>
      <c r="Q2" s="60" t="s">
        <v>5</v>
      </c>
      <c r="R2" s="61" t="s">
        <v>11</v>
      </c>
      <c r="S2" s="59">
        <v>20190514</v>
      </c>
    </row>
    <row r="3" ht="14.45" customHeight="1" spans="1:19">
      <c r="A3" s="60" t="s">
        <v>5</v>
      </c>
      <c r="B3" s="61" t="s">
        <v>11</v>
      </c>
      <c r="C3" s="59">
        <v>20190514</v>
      </c>
      <c r="D3" s="66"/>
      <c r="E3" s="83" t="s">
        <v>12</v>
      </c>
      <c r="F3" s="83"/>
      <c r="G3" s="61"/>
      <c r="H3" s="60"/>
      <c r="I3" s="64" t="s">
        <v>13</v>
      </c>
      <c r="J3" s="61" t="s">
        <v>10</v>
      </c>
      <c r="K3" s="60"/>
      <c r="L3" s="64" t="s">
        <v>14</v>
      </c>
      <c r="M3" s="61" t="s">
        <v>15</v>
      </c>
      <c r="N3" s="64" t="s">
        <v>16</v>
      </c>
      <c r="O3" s="79" t="str">
        <f>HYPERLINK(J4&amp;"/index.php/Qwadmin/Udno/addedit.html?sheetname="&amp;C1,J4&amp;"/index.php/Qwadmin/Udno/addedit.html?sheetname="&amp;C1)</f>
        <v>http://aa.r34.cc/index.php/Qwadmin/Udno/addedit.html?sheetname=经费使用测试</v>
      </c>
      <c r="P3" s="60"/>
      <c r="Q3" s="60" t="s">
        <v>17</v>
      </c>
      <c r="R3" s="61" t="s">
        <v>18</v>
      </c>
      <c r="S3" s="67" t="s">
        <v>19</v>
      </c>
    </row>
    <row r="4" ht="14.45" customHeight="1" spans="1:19">
      <c r="A4" s="60" t="s">
        <v>17</v>
      </c>
      <c r="B4" s="61" t="s">
        <v>18</v>
      </c>
      <c r="C4" s="67" t="s">
        <v>19</v>
      </c>
      <c r="D4" s="66"/>
      <c r="E4" s="64" t="s">
        <v>20</v>
      </c>
      <c r="F4" s="83"/>
      <c r="G4" s="61"/>
      <c r="H4" s="60"/>
      <c r="I4" s="64" t="s">
        <v>21</v>
      </c>
      <c r="J4" s="80" t="s">
        <v>22</v>
      </c>
      <c r="K4" s="60"/>
      <c r="L4" s="64" t="s">
        <v>23</v>
      </c>
      <c r="M4" s="61" t="s">
        <v>24</v>
      </c>
      <c r="N4" s="64" t="s">
        <v>25</v>
      </c>
      <c r="O4" s="81" t="str">
        <f>HYPERLINK(CONCATENATE(J4,"/index.php/Qwadmin/Rwxy/echoteacherdb?conall=;数据表名等于",C1,";不显字段等于id,wrpw,data1,data2,ord,rpw,name,pid,custom1,custom2,sheetname;查看密码等于",F1),CONCATENATE(J4,"/index.php/Qwadmin/Rwxy/echoteacherdb?conall=;数据表名等于",C1,";不显字段等于id,wrpw,data1,data2,ord,rpw,name,pid,custom1,custom2,sheetname;查看密码等于",F1))</f>
        <v>http://aa.r34.cc/index.php/Qwadmin/Rwxy/echoteacherdb?conall=;数据表名等于经费使用测试;不显字段等于id,wrpw,data1,data2,ord,rpw,name,pid,custom1,custom2,sheetname;查看密码等于T8O6J3V1BB</v>
      </c>
      <c r="P4" s="60"/>
      <c r="Q4" s="60" t="s">
        <v>26</v>
      </c>
      <c r="R4" s="61" t="s">
        <v>1</v>
      </c>
      <c r="S4" s="61" t="s">
        <v>27</v>
      </c>
    </row>
    <row r="5" ht="14.45" customHeight="1" spans="1:19">
      <c r="A5" s="60" t="s">
        <v>26</v>
      </c>
      <c r="B5" s="61" t="s">
        <v>1</v>
      </c>
      <c r="C5" s="61" t="s">
        <v>27</v>
      </c>
      <c r="D5" s="66"/>
      <c r="E5" s="64" t="s">
        <v>28</v>
      </c>
      <c r="F5" s="68" t="s">
        <v>17</v>
      </c>
      <c r="G5" s="61"/>
      <c r="H5" s="60"/>
      <c r="I5" s="64" t="s">
        <v>29</v>
      </c>
      <c r="J5" s="65" t="s">
        <v>30</v>
      </c>
      <c r="K5" s="60"/>
      <c r="L5" s="64" t="s">
        <v>31</v>
      </c>
      <c r="M5" s="61" t="s">
        <v>32</v>
      </c>
      <c r="N5" s="64" t="s">
        <v>33</v>
      </c>
      <c r="O5" s="82" t="str">
        <f>HYPERLINK(J4&amp;"/index.php/Qwadmin/Rwxy/uniquerydata/rpw/"&amp;F1&amp;".html",J4&amp;"/index.php/Qwadmin/Rwxy/uniquerydata/rpw/"&amp;F1&amp;".html")</f>
        <v>http://aa.r34.cc/index.php/Qwadmin/Rwxy/uniquerydata/rpw/T8O6J3V1BB.html</v>
      </c>
      <c r="P5" s="60"/>
      <c r="Q5" s="60" t="s">
        <v>34</v>
      </c>
      <c r="R5" s="61" t="s">
        <v>35</v>
      </c>
      <c r="S5" s="61"/>
    </row>
    <row r="6" ht="14.45" customHeight="1" spans="1:19">
      <c r="A6" s="60" t="s">
        <v>34</v>
      </c>
      <c r="B6" s="61" t="s">
        <v>35</v>
      </c>
      <c r="C6" s="61"/>
      <c r="D6" s="55"/>
      <c r="E6" s="64" t="s">
        <v>36</v>
      </c>
      <c r="F6" s="69" t="s">
        <v>37</v>
      </c>
      <c r="G6" s="61"/>
      <c r="H6" s="60"/>
      <c r="I6" s="64" t="s">
        <v>38</v>
      </c>
      <c r="J6" s="65"/>
      <c r="K6" s="61"/>
      <c r="L6" s="64" t="s">
        <v>39</v>
      </c>
      <c r="M6" s="65" t="s">
        <v>40</v>
      </c>
      <c r="N6" s="83" t="s">
        <v>41</v>
      </c>
      <c r="O6" s="84" t="str">
        <f>HYPERLINK(J4&amp;"/index.php/Qwadmin/Udno/magrecords/wrpw/"&amp;F2&amp;"/sheetname/"&amp;C1&amp;".html",J4&amp;"/index.php/Qwadmin/Udno/magrecords/wrpw/"&amp;F2&amp;"/sheetname/"&amp;C1&amp;".html")</f>
        <v>http://aa.r34.cc/index.php/Qwadmin/Udno/magrecords/wrpw/251H8837772190/sheetname/经费使用测试.html</v>
      </c>
      <c r="P6" s="60"/>
      <c r="Q6" s="60" t="s">
        <v>17</v>
      </c>
      <c r="R6" s="61" t="s">
        <v>42</v>
      </c>
      <c r="S6" s="61" t="s">
        <v>43</v>
      </c>
    </row>
    <row r="7" ht="14.45" customHeight="1" spans="1:19">
      <c r="A7" s="60" t="s">
        <v>17</v>
      </c>
      <c r="B7" s="61" t="s">
        <v>42</v>
      </c>
      <c r="C7" s="61" t="s">
        <v>43</v>
      </c>
      <c r="D7" s="55"/>
      <c r="E7" s="64"/>
      <c r="F7" s="70"/>
      <c r="G7" s="60"/>
      <c r="H7" s="60"/>
      <c r="I7" s="85" t="s">
        <v>44</v>
      </c>
      <c r="J7" s="86" t="s">
        <v>45</v>
      </c>
      <c r="K7" s="60"/>
      <c r="L7" s="64" t="s">
        <v>46</v>
      </c>
      <c r="M7" s="94" t="s">
        <v>32</v>
      </c>
      <c r="N7" s="94" t="s">
        <v>47</v>
      </c>
      <c r="P7" s="60"/>
      <c r="Q7" s="60" t="s">
        <v>48</v>
      </c>
      <c r="R7" s="59" t="s">
        <v>1</v>
      </c>
      <c r="S7" s="59" t="s">
        <v>49</v>
      </c>
    </row>
    <row r="8" ht="14.45" customHeight="1" spans="1:17">
      <c r="A8" s="60" t="s">
        <v>48</v>
      </c>
      <c r="B8" s="59" t="s">
        <v>1</v>
      </c>
      <c r="C8" s="59" t="s">
        <v>49</v>
      </c>
      <c r="D8" s="66"/>
      <c r="E8" s="64"/>
      <c r="F8" s="70"/>
      <c r="G8" s="60"/>
      <c r="H8" s="60"/>
      <c r="I8" s="59" t="s">
        <v>50</v>
      </c>
      <c r="J8" s="65" t="s">
        <v>51</v>
      </c>
      <c r="K8" s="60"/>
      <c r="N8" s="60"/>
      <c r="O8" s="60"/>
      <c r="P8" s="60"/>
      <c r="Q8" s="60"/>
    </row>
    <row r="9" s="55" customFormat="1" ht="14.45" customHeight="1" spans="1:50">
      <c r="A9" s="71" t="s">
        <v>17</v>
      </c>
      <c r="B9" s="71" t="s">
        <v>26</v>
      </c>
      <c r="C9" s="71" t="s">
        <v>52</v>
      </c>
      <c r="D9" s="71" t="s">
        <v>34</v>
      </c>
      <c r="E9" s="71" t="s">
        <v>5</v>
      </c>
      <c r="F9" s="71" t="s">
        <v>53</v>
      </c>
      <c r="G9" s="71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98"/>
    </row>
    <row r="10" s="56" customFormat="1" ht="14.45" customHeight="1"/>
    <row r="11" s="55" customFormat="1" ht="14.45" customHeight="1" spans="1:50">
      <c r="A11" s="87" t="s">
        <v>54</v>
      </c>
      <c r="B11" s="87" t="s">
        <v>55</v>
      </c>
      <c r="C11" s="87" t="s">
        <v>56</v>
      </c>
      <c r="D11" s="87" t="s">
        <v>57</v>
      </c>
      <c r="E11" s="87" t="s">
        <v>58</v>
      </c>
      <c r="F11" s="88" t="s">
        <v>59</v>
      </c>
      <c r="G11" s="88" t="s">
        <v>60</v>
      </c>
      <c r="H11" s="89"/>
      <c r="I11" s="89"/>
      <c r="J11" s="89"/>
      <c r="K11" s="95"/>
      <c r="L11" s="95"/>
      <c r="M11" s="95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6"/>
      <c r="AQ11" s="96"/>
      <c r="AR11" s="96"/>
      <c r="AS11" s="96"/>
      <c r="AT11" s="96"/>
      <c r="AU11" s="96"/>
      <c r="AV11" s="96"/>
      <c r="AW11" s="96"/>
      <c r="AX11" s="96"/>
    </row>
    <row r="12" s="58" customFormat="1" ht="14.45" customHeight="1" spans="1:50">
      <c r="A12" s="87" t="s">
        <v>61</v>
      </c>
      <c r="B12" s="87" t="s">
        <v>27</v>
      </c>
      <c r="C12" s="87">
        <v>22179.5</v>
      </c>
      <c r="D12" s="87" t="s">
        <v>62</v>
      </c>
      <c r="E12" s="87">
        <v>20190101</v>
      </c>
      <c r="F12" s="88" t="s">
        <v>63</v>
      </c>
      <c r="G12" s="88" t="s">
        <v>64</v>
      </c>
      <c r="H12" s="89"/>
      <c r="I12" s="89"/>
      <c r="J12" s="89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  <c r="AR12" s="95"/>
      <c r="AS12" s="95"/>
      <c r="AT12" s="95"/>
      <c r="AU12" s="95"/>
      <c r="AV12" s="95"/>
      <c r="AW12" s="95"/>
      <c r="AX12" s="95"/>
    </row>
    <row r="13" s="58" customFormat="1" ht="14.45" customHeight="1" spans="1:50">
      <c r="A13" s="87" t="s">
        <v>65</v>
      </c>
      <c r="B13" s="87" t="s">
        <v>27</v>
      </c>
      <c r="C13" s="87">
        <v>9737</v>
      </c>
      <c r="D13" s="87"/>
      <c r="E13" s="87">
        <v>20190101</v>
      </c>
      <c r="F13" s="88" t="s">
        <v>66</v>
      </c>
      <c r="G13" s="88" t="s">
        <v>67</v>
      </c>
      <c r="H13" s="89"/>
      <c r="I13" s="89"/>
      <c r="J13" s="89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  <c r="AT13" s="95"/>
      <c r="AU13" s="95"/>
      <c r="AV13" s="95"/>
      <c r="AW13" s="95"/>
      <c r="AX13" s="95"/>
    </row>
    <row r="14" s="58" customFormat="1" ht="14.45" customHeight="1" spans="1:50">
      <c r="A14" s="87" t="s">
        <v>68</v>
      </c>
      <c r="B14" s="87" t="s">
        <v>27</v>
      </c>
      <c r="C14" s="87">
        <v>10502.1</v>
      </c>
      <c r="D14" s="87" t="s">
        <v>69</v>
      </c>
      <c r="E14" s="87">
        <v>20190101</v>
      </c>
      <c r="F14" s="88" t="s">
        <v>70</v>
      </c>
      <c r="G14" s="88" t="s">
        <v>71</v>
      </c>
      <c r="H14" s="89"/>
      <c r="I14" s="89"/>
      <c r="J14" s="89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  <c r="AX14" s="95"/>
    </row>
    <row r="15" s="58" customFormat="1" ht="14.45" customHeight="1" spans="1:50">
      <c r="A15" s="87" t="s">
        <v>72</v>
      </c>
      <c r="B15" s="87" t="s">
        <v>27</v>
      </c>
      <c r="C15" s="87">
        <v>2325</v>
      </c>
      <c r="D15" s="87"/>
      <c r="E15" s="87">
        <v>20190101</v>
      </c>
      <c r="F15" s="88" t="s">
        <v>73</v>
      </c>
      <c r="G15" s="88" t="s">
        <v>74</v>
      </c>
      <c r="H15" s="89"/>
      <c r="I15" s="89"/>
      <c r="J15" s="89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P15" s="95"/>
      <c r="AQ15" s="95"/>
      <c r="AR15" s="95"/>
      <c r="AS15" s="95"/>
      <c r="AT15" s="95"/>
      <c r="AU15" s="95"/>
      <c r="AV15" s="95"/>
      <c r="AW15" s="95"/>
      <c r="AX15" s="95"/>
    </row>
    <row r="16" s="58" customFormat="1" ht="14.45" customHeight="1" spans="1:50">
      <c r="A16" s="87" t="s">
        <v>75</v>
      </c>
      <c r="B16" s="87" t="s">
        <v>27</v>
      </c>
      <c r="C16" s="87">
        <v>9900</v>
      </c>
      <c r="D16" s="87" t="s">
        <v>76</v>
      </c>
      <c r="E16" s="87">
        <v>20190101</v>
      </c>
      <c r="F16" s="88" t="s">
        <v>63</v>
      </c>
      <c r="G16" s="88" t="s">
        <v>64</v>
      </c>
      <c r="H16" s="89"/>
      <c r="I16" s="89"/>
      <c r="J16" s="89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5"/>
      <c r="AR16" s="95"/>
      <c r="AS16" s="95"/>
      <c r="AT16" s="95"/>
      <c r="AU16" s="95"/>
      <c r="AV16" s="95"/>
      <c r="AW16" s="95"/>
      <c r="AX16" s="95"/>
    </row>
    <row r="17" s="58" customFormat="1" ht="14.45" customHeight="1" spans="1:50">
      <c r="A17" s="87" t="s">
        <v>77</v>
      </c>
      <c r="B17" s="87" t="s">
        <v>27</v>
      </c>
      <c r="C17" s="87">
        <v>4216</v>
      </c>
      <c r="D17" s="87"/>
      <c r="E17" s="87">
        <v>20190101</v>
      </c>
      <c r="F17" s="88" t="s">
        <v>66</v>
      </c>
      <c r="G17" s="88" t="s">
        <v>67</v>
      </c>
      <c r="H17" s="89"/>
      <c r="I17" s="89"/>
      <c r="J17" s="89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</row>
    <row r="18" s="58" customFormat="1" ht="14.45" customHeight="1" spans="1:50">
      <c r="A18" s="87" t="s">
        <v>78</v>
      </c>
      <c r="B18" s="87" t="s">
        <v>27</v>
      </c>
      <c r="C18" s="87">
        <v>18822.62</v>
      </c>
      <c r="D18" s="87" t="s">
        <v>79</v>
      </c>
      <c r="E18" s="87">
        <v>20190101</v>
      </c>
      <c r="F18" s="88" t="s">
        <v>70</v>
      </c>
      <c r="G18" s="88" t="s">
        <v>71</v>
      </c>
      <c r="H18" s="89"/>
      <c r="I18" s="89"/>
      <c r="J18" s="89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</row>
    <row r="19" ht="14.45" customHeight="1" spans="1:50">
      <c r="A19" s="87" t="s">
        <v>78</v>
      </c>
      <c r="B19" s="87" t="s">
        <v>80</v>
      </c>
      <c r="C19" s="87">
        <v>3500</v>
      </c>
      <c r="D19" s="87"/>
      <c r="E19" s="87">
        <v>20190328</v>
      </c>
      <c r="F19" s="88" t="s">
        <v>73</v>
      </c>
      <c r="G19" s="88" t="s">
        <v>74</v>
      </c>
      <c r="H19" s="89"/>
      <c r="I19" s="89"/>
      <c r="J19" s="89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</row>
    <row r="20" ht="14.45" customHeight="1" spans="1:50">
      <c r="A20" s="87" t="s">
        <v>77</v>
      </c>
      <c r="B20" s="87" t="s">
        <v>27</v>
      </c>
      <c r="C20" s="87">
        <v>3500</v>
      </c>
      <c r="D20" s="87" t="s">
        <v>81</v>
      </c>
      <c r="E20" s="87">
        <v>20190328</v>
      </c>
      <c r="F20" s="88" t="s">
        <v>63</v>
      </c>
      <c r="G20" s="88" t="s">
        <v>64</v>
      </c>
      <c r="H20" s="89"/>
      <c r="I20" s="89"/>
      <c r="J20" s="89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</row>
    <row r="21" ht="14.45" customHeight="1" spans="1:50">
      <c r="A21" s="87" t="s">
        <v>78</v>
      </c>
      <c r="B21" s="87" t="s">
        <v>80</v>
      </c>
      <c r="C21" s="87">
        <v>3550</v>
      </c>
      <c r="D21" s="87" t="s">
        <v>82</v>
      </c>
      <c r="E21" s="87">
        <v>20190329</v>
      </c>
      <c r="F21" s="88" t="s">
        <v>66</v>
      </c>
      <c r="G21" s="88" t="s">
        <v>67</v>
      </c>
      <c r="H21" s="89"/>
      <c r="I21" s="89"/>
      <c r="J21" s="89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</row>
    <row r="22" ht="14.45" customHeight="1" spans="1:50">
      <c r="A22" s="87" t="s">
        <v>78</v>
      </c>
      <c r="B22" s="87" t="s">
        <v>80</v>
      </c>
      <c r="C22" s="87">
        <v>3550</v>
      </c>
      <c r="D22" s="87" t="s">
        <v>83</v>
      </c>
      <c r="E22" s="87">
        <v>20190329</v>
      </c>
      <c r="F22" s="88" t="s">
        <v>70</v>
      </c>
      <c r="G22" s="88" t="s">
        <v>71</v>
      </c>
      <c r="H22" s="89"/>
      <c r="I22" s="89"/>
      <c r="J22" s="89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</row>
    <row r="23" ht="14.45" customHeight="1" spans="1:50">
      <c r="A23" s="87" t="s">
        <v>77</v>
      </c>
      <c r="B23" s="87" t="s">
        <v>80</v>
      </c>
      <c r="C23" s="87">
        <v>1856.5</v>
      </c>
      <c r="D23" s="87" t="s">
        <v>84</v>
      </c>
      <c r="E23" s="87">
        <v>20190329</v>
      </c>
      <c r="F23" s="88" t="s">
        <v>73</v>
      </c>
      <c r="G23" s="88" t="s">
        <v>74</v>
      </c>
      <c r="H23" s="89"/>
      <c r="I23" s="89"/>
      <c r="J23" s="89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  <c r="AX23" s="97"/>
    </row>
    <row r="24" ht="14.45" customHeight="1" spans="1:50">
      <c r="A24" s="87" t="s">
        <v>77</v>
      </c>
      <c r="B24" s="87" t="s">
        <v>80</v>
      </c>
      <c r="C24" s="87">
        <v>638.5</v>
      </c>
      <c r="D24" s="87" t="s">
        <v>85</v>
      </c>
      <c r="E24" s="87">
        <v>20190410</v>
      </c>
      <c r="F24" s="88" t="s">
        <v>63</v>
      </c>
      <c r="G24" s="88" t="s">
        <v>64</v>
      </c>
      <c r="H24" s="89"/>
      <c r="I24" s="89"/>
      <c r="J24" s="89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97"/>
      <c r="AS24" s="97"/>
      <c r="AT24" s="97"/>
      <c r="AU24" s="97"/>
      <c r="AV24" s="97"/>
      <c r="AW24" s="97"/>
      <c r="AX24" s="97"/>
    </row>
    <row r="25" ht="14.45" customHeight="1" spans="1:50">
      <c r="A25" s="87" t="s">
        <v>77</v>
      </c>
      <c r="B25" s="87" t="s">
        <v>80</v>
      </c>
      <c r="C25" s="87">
        <v>1138</v>
      </c>
      <c r="D25" s="87" t="s">
        <v>86</v>
      </c>
      <c r="E25" s="87">
        <v>20190412</v>
      </c>
      <c r="F25" s="88" t="s">
        <v>66</v>
      </c>
      <c r="G25" s="88" t="s">
        <v>67</v>
      </c>
      <c r="H25" s="89"/>
      <c r="I25" s="89"/>
      <c r="J25" s="89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</row>
    <row r="26" ht="14.45" customHeight="1" spans="1:50">
      <c r="A26" s="87" t="s">
        <v>77</v>
      </c>
      <c r="B26" s="87" t="s">
        <v>80</v>
      </c>
      <c r="C26" s="87">
        <v>401</v>
      </c>
      <c r="D26" s="87" t="s">
        <v>87</v>
      </c>
      <c r="E26" s="87">
        <v>20190412</v>
      </c>
      <c r="F26" s="88" t="s">
        <v>70</v>
      </c>
      <c r="G26" s="88" t="s">
        <v>71</v>
      </c>
      <c r="H26" s="89"/>
      <c r="I26" s="89"/>
      <c r="J26" s="89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7"/>
      <c r="AL26" s="97"/>
      <c r="AM26" s="97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</row>
    <row r="27" ht="14.45" customHeight="1" spans="1:50">
      <c r="A27" s="87" t="s">
        <v>77</v>
      </c>
      <c r="B27" s="87" t="s">
        <v>80</v>
      </c>
      <c r="C27" s="87">
        <v>799</v>
      </c>
      <c r="D27" s="87" t="s">
        <v>88</v>
      </c>
      <c r="E27" s="87">
        <v>20190412</v>
      </c>
      <c r="F27" s="88" t="s">
        <v>73</v>
      </c>
      <c r="G27" s="88" t="s">
        <v>74</v>
      </c>
      <c r="H27" s="89"/>
      <c r="I27" s="89"/>
      <c r="J27" s="89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97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</row>
    <row r="28" ht="14.45" customHeight="1" spans="1:50">
      <c r="A28" s="87" t="s">
        <v>61</v>
      </c>
      <c r="B28" s="87" t="s">
        <v>80</v>
      </c>
      <c r="C28" s="87">
        <v>540.5</v>
      </c>
      <c r="D28" s="87" t="s">
        <v>89</v>
      </c>
      <c r="E28" s="87">
        <v>20190418</v>
      </c>
      <c r="F28" s="88" t="s">
        <v>63</v>
      </c>
      <c r="G28" s="88" t="s">
        <v>64</v>
      </c>
      <c r="H28" s="89"/>
      <c r="I28" s="89"/>
      <c r="J28" s="89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97"/>
      <c r="AO28" s="97"/>
      <c r="AP28" s="97"/>
      <c r="AQ28" s="97"/>
      <c r="AR28" s="97"/>
      <c r="AS28" s="97"/>
      <c r="AT28" s="97"/>
      <c r="AU28" s="97"/>
      <c r="AV28" s="97"/>
      <c r="AW28" s="97"/>
      <c r="AX28" s="97"/>
    </row>
    <row r="29" ht="14.45" customHeight="1" spans="1:50">
      <c r="A29" s="87" t="s">
        <v>61</v>
      </c>
      <c r="B29" s="87" t="s">
        <v>80</v>
      </c>
      <c r="C29" s="87">
        <v>465.7</v>
      </c>
      <c r="D29" s="87" t="s">
        <v>90</v>
      </c>
      <c r="E29" s="87">
        <v>20190422</v>
      </c>
      <c r="F29" s="88" t="s">
        <v>66</v>
      </c>
      <c r="G29" s="88" t="s">
        <v>67</v>
      </c>
      <c r="H29" s="89"/>
      <c r="I29" s="89"/>
      <c r="J29" s="89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7"/>
      <c r="AM29" s="97"/>
      <c r="AN29" s="97"/>
      <c r="AO29" s="97"/>
      <c r="AP29" s="97"/>
      <c r="AQ29" s="97"/>
      <c r="AR29" s="97"/>
      <c r="AS29" s="97"/>
      <c r="AT29" s="97"/>
      <c r="AU29" s="97"/>
      <c r="AV29" s="97"/>
      <c r="AW29" s="97"/>
      <c r="AX29" s="97"/>
    </row>
    <row r="30" ht="14.45" customHeight="1" spans="1:50">
      <c r="A30" s="87" t="s">
        <v>61</v>
      </c>
      <c r="B30" s="87" t="s">
        <v>80</v>
      </c>
      <c r="C30" s="87">
        <v>785</v>
      </c>
      <c r="D30" s="87" t="s">
        <v>91</v>
      </c>
      <c r="E30" s="87">
        <v>20190423</v>
      </c>
      <c r="F30" s="88" t="s">
        <v>70</v>
      </c>
      <c r="G30" s="88" t="s">
        <v>71</v>
      </c>
      <c r="H30" s="89"/>
      <c r="I30" s="89"/>
      <c r="J30" s="89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7"/>
      <c r="AK30" s="97"/>
      <c r="AL30" s="97"/>
      <c r="AM30" s="97"/>
      <c r="AN30" s="97"/>
      <c r="AO30" s="97"/>
      <c r="AP30" s="97"/>
      <c r="AQ30" s="97"/>
      <c r="AR30" s="97"/>
      <c r="AS30" s="97"/>
      <c r="AT30" s="97"/>
      <c r="AU30" s="97"/>
      <c r="AV30" s="97"/>
      <c r="AW30" s="97"/>
      <c r="AX30" s="97"/>
    </row>
    <row r="31" ht="14.45" customHeight="1" spans="1:50">
      <c r="A31" s="87" t="s">
        <v>61</v>
      </c>
      <c r="B31" s="87" t="s">
        <v>80</v>
      </c>
      <c r="C31" s="87">
        <v>579</v>
      </c>
      <c r="D31" s="87" t="s">
        <v>92</v>
      </c>
      <c r="E31" s="87">
        <v>20190424</v>
      </c>
      <c r="F31" s="88" t="s">
        <v>73</v>
      </c>
      <c r="G31" s="88" t="s">
        <v>74</v>
      </c>
      <c r="H31" s="89"/>
      <c r="I31" s="89"/>
      <c r="J31" s="89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/>
      <c r="AP31" s="97"/>
      <c r="AQ31" s="97"/>
      <c r="AR31" s="97"/>
      <c r="AS31" s="97"/>
      <c r="AT31" s="97"/>
      <c r="AU31" s="97"/>
      <c r="AV31" s="97"/>
      <c r="AW31" s="97"/>
      <c r="AX31" s="97"/>
    </row>
    <row r="32" ht="14.45" customHeight="1" spans="1:50">
      <c r="A32" s="87" t="s">
        <v>78</v>
      </c>
      <c r="B32" s="87" t="s">
        <v>80</v>
      </c>
      <c r="C32" s="87">
        <v>3550</v>
      </c>
      <c r="D32" s="87" t="s">
        <v>93</v>
      </c>
      <c r="E32" s="87">
        <v>20190426</v>
      </c>
      <c r="F32" s="88" t="s">
        <v>63</v>
      </c>
      <c r="G32" s="88" t="s">
        <v>64</v>
      </c>
      <c r="H32" s="89"/>
      <c r="I32" s="89"/>
      <c r="J32" s="89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7"/>
      <c r="AL32" s="97"/>
      <c r="AM32" s="97"/>
      <c r="AN32" s="97"/>
      <c r="AO32" s="97"/>
      <c r="AP32" s="97"/>
      <c r="AQ32" s="97"/>
      <c r="AR32" s="97"/>
      <c r="AS32" s="97"/>
      <c r="AT32" s="97"/>
      <c r="AU32" s="97"/>
      <c r="AV32" s="97"/>
      <c r="AW32" s="97"/>
      <c r="AX32" s="97"/>
    </row>
    <row r="33" ht="14.45" customHeight="1" spans="1:50">
      <c r="A33" s="87" t="s">
        <v>78</v>
      </c>
      <c r="B33" s="87" t="s">
        <v>80</v>
      </c>
      <c r="C33" s="87">
        <v>3550</v>
      </c>
      <c r="D33" s="87" t="s">
        <v>94</v>
      </c>
      <c r="E33" s="87">
        <v>20190426</v>
      </c>
      <c r="F33" s="88" t="s">
        <v>66</v>
      </c>
      <c r="G33" s="88" t="s">
        <v>67</v>
      </c>
      <c r="H33" s="89"/>
      <c r="I33" s="89"/>
      <c r="J33" s="89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97"/>
      <c r="AX33" s="97"/>
    </row>
    <row r="34" ht="14.45" customHeight="1" spans="1:50">
      <c r="A34" s="90"/>
      <c r="B34" s="90"/>
      <c r="C34" s="90"/>
      <c r="D34" s="90"/>
      <c r="E34" s="90"/>
      <c r="F34" s="91"/>
      <c r="G34" s="92"/>
      <c r="H34" s="89"/>
      <c r="I34" s="89"/>
      <c r="J34" s="89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97"/>
      <c r="AW34" s="97"/>
      <c r="AX34" s="97"/>
    </row>
    <row r="35" ht="14.45" customHeight="1" spans="1:50">
      <c r="A35" s="93"/>
      <c r="B35" s="93"/>
      <c r="C35" s="93"/>
      <c r="D35" s="93"/>
      <c r="E35" s="93"/>
      <c r="F35" s="91"/>
      <c r="G35" s="92"/>
      <c r="H35" s="89"/>
      <c r="I35" s="89"/>
      <c r="J35" s="89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97"/>
      <c r="AW35" s="97"/>
      <c r="AX35" s="97"/>
    </row>
    <row r="36" ht="14.45" customHeight="1" spans="1:50">
      <c r="A36" s="93"/>
      <c r="B36" s="93"/>
      <c r="C36" s="93"/>
      <c r="D36" s="93"/>
      <c r="E36" s="93"/>
      <c r="F36" s="91"/>
      <c r="G36" s="92"/>
      <c r="H36" s="89"/>
      <c r="I36" s="89"/>
      <c r="J36" s="89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97"/>
      <c r="AW36" s="97"/>
      <c r="AX36" s="97"/>
    </row>
    <row r="37" ht="14.45" customHeight="1" spans="1:50">
      <c r="A37" s="93"/>
      <c r="B37" s="93"/>
      <c r="C37" s="93"/>
      <c r="D37" s="93"/>
      <c r="E37" s="93"/>
      <c r="F37" s="91"/>
      <c r="G37" s="92"/>
      <c r="H37" s="89"/>
      <c r="I37" s="89"/>
      <c r="J37" s="89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97"/>
      <c r="AW37" s="97"/>
      <c r="AX37" s="97"/>
    </row>
    <row r="38" ht="14.45" customHeight="1" spans="1:50">
      <c r="A38" s="93"/>
      <c r="B38" s="93"/>
      <c r="C38" s="93"/>
      <c r="D38" s="93"/>
      <c r="E38" s="93"/>
      <c r="F38" s="91"/>
      <c r="G38" s="92"/>
      <c r="H38" s="89"/>
      <c r="I38" s="89"/>
      <c r="J38" s="89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97"/>
      <c r="AW38" s="97"/>
      <c r="AX38" s="97"/>
    </row>
    <row r="39" ht="14.45" customHeight="1" spans="1:50">
      <c r="A39" s="93"/>
      <c r="B39" s="93"/>
      <c r="C39" s="93"/>
      <c r="D39" s="93"/>
      <c r="E39" s="93"/>
      <c r="F39" s="91"/>
      <c r="G39" s="92"/>
      <c r="H39" s="89"/>
      <c r="I39" s="89"/>
      <c r="J39" s="89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7"/>
      <c r="AO39" s="97"/>
      <c r="AP39" s="97"/>
      <c r="AQ39" s="97"/>
      <c r="AR39" s="97"/>
      <c r="AS39" s="97"/>
      <c r="AT39" s="97"/>
      <c r="AU39" s="97"/>
      <c r="AV39" s="97"/>
      <c r="AW39" s="97"/>
      <c r="AX39" s="97"/>
    </row>
    <row r="40" ht="14.45" customHeight="1" spans="1:50">
      <c r="A40" s="93"/>
      <c r="B40" s="93"/>
      <c r="C40" s="93"/>
      <c r="D40" s="93"/>
      <c r="E40" s="93"/>
      <c r="F40" s="91"/>
      <c r="G40" s="92"/>
      <c r="H40" s="89"/>
      <c r="I40" s="89"/>
      <c r="J40" s="89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97"/>
      <c r="AR40" s="97"/>
      <c r="AS40" s="97"/>
      <c r="AT40" s="97"/>
      <c r="AU40" s="97"/>
      <c r="AV40" s="97"/>
      <c r="AW40" s="97"/>
      <c r="AX40" s="97"/>
    </row>
    <row r="41" ht="14.45" customHeight="1" spans="1:50">
      <c r="A41" s="93"/>
      <c r="B41" s="93"/>
      <c r="C41" s="93"/>
      <c r="D41" s="93"/>
      <c r="E41" s="93"/>
      <c r="F41" s="91"/>
      <c r="G41" s="92"/>
      <c r="H41" s="89"/>
      <c r="I41" s="89"/>
      <c r="J41" s="89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  <c r="AJ41" s="97"/>
      <c r="AK41" s="97"/>
      <c r="AL41" s="97"/>
      <c r="AM41" s="97"/>
      <c r="AN41" s="97"/>
      <c r="AO41" s="97"/>
      <c r="AP41" s="97"/>
      <c r="AQ41" s="97"/>
      <c r="AR41" s="97"/>
      <c r="AS41" s="97"/>
      <c r="AT41" s="97"/>
      <c r="AU41" s="97"/>
      <c r="AV41" s="97"/>
      <c r="AW41" s="97"/>
      <c r="AX41" s="97"/>
    </row>
    <row r="42" ht="14.45" customHeight="1" spans="1:50">
      <c r="A42" s="93"/>
      <c r="B42" s="93"/>
      <c r="C42" s="93"/>
      <c r="D42" s="93"/>
      <c r="E42" s="93"/>
      <c r="F42" s="91"/>
      <c r="G42" s="92"/>
      <c r="H42" s="89"/>
      <c r="I42" s="89"/>
      <c r="J42" s="89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  <c r="AV42" s="97"/>
      <c r="AW42" s="97"/>
      <c r="AX42" s="97"/>
    </row>
    <row r="43" ht="14.45" customHeight="1" spans="1:50">
      <c r="A43" s="93"/>
      <c r="B43" s="93"/>
      <c r="C43" s="93"/>
      <c r="D43" s="93"/>
      <c r="E43" s="93"/>
      <c r="F43" s="91"/>
      <c r="G43" s="92"/>
      <c r="H43" s="89"/>
      <c r="I43" s="89"/>
      <c r="J43" s="89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7"/>
      <c r="AP43" s="97"/>
      <c r="AQ43" s="97"/>
      <c r="AR43" s="97"/>
      <c r="AS43" s="97"/>
      <c r="AT43" s="97"/>
      <c r="AU43" s="97"/>
      <c r="AV43" s="97"/>
      <c r="AW43" s="97"/>
      <c r="AX43" s="97"/>
    </row>
    <row r="44" ht="14.45" customHeight="1" spans="1:50">
      <c r="A44" s="93"/>
      <c r="B44" s="93"/>
      <c r="C44" s="93"/>
      <c r="D44" s="93"/>
      <c r="E44" s="93"/>
      <c r="F44" s="91"/>
      <c r="G44" s="92"/>
      <c r="H44" s="89"/>
      <c r="I44" s="89"/>
      <c r="J44" s="89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/>
      <c r="AP44" s="97"/>
      <c r="AQ44" s="97"/>
      <c r="AR44" s="97"/>
      <c r="AS44" s="97"/>
      <c r="AT44" s="97"/>
      <c r="AU44" s="97"/>
      <c r="AV44" s="97"/>
      <c r="AW44" s="97"/>
      <c r="AX44" s="97"/>
    </row>
    <row r="45" ht="14.45" customHeight="1" spans="1:50">
      <c r="A45" s="93"/>
      <c r="B45" s="93"/>
      <c r="C45" s="93"/>
      <c r="D45" s="93"/>
      <c r="E45" s="93"/>
      <c r="F45" s="91"/>
      <c r="G45" s="92"/>
      <c r="H45" s="89"/>
      <c r="I45" s="89"/>
      <c r="J45" s="89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7"/>
      <c r="AU45" s="97"/>
      <c r="AV45" s="97"/>
      <c r="AW45" s="97"/>
      <c r="AX45" s="97"/>
    </row>
    <row r="46" ht="14.45" customHeight="1" spans="1:50">
      <c r="A46" s="93"/>
      <c r="B46" s="93"/>
      <c r="C46" s="93"/>
      <c r="D46" s="93"/>
      <c r="E46" s="93"/>
      <c r="F46" s="91"/>
      <c r="G46" s="92"/>
      <c r="H46" s="89"/>
      <c r="I46" s="89"/>
      <c r="J46" s="89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  <c r="AJ46" s="97"/>
      <c r="AK46" s="97"/>
      <c r="AL46" s="97"/>
      <c r="AM46" s="97"/>
      <c r="AN46" s="97"/>
      <c r="AO46" s="97"/>
      <c r="AP46" s="97"/>
      <c r="AQ46" s="97"/>
      <c r="AR46" s="97"/>
      <c r="AS46" s="97"/>
      <c r="AT46" s="97"/>
      <c r="AU46" s="97"/>
      <c r="AV46" s="97"/>
      <c r="AW46" s="97"/>
      <c r="AX46" s="97"/>
    </row>
    <row r="47" ht="14.45" customHeight="1" spans="1:50">
      <c r="A47" s="93"/>
      <c r="B47" s="93"/>
      <c r="C47" s="93"/>
      <c r="D47" s="93"/>
      <c r="E47" s="93"/>
      <c r="F47" s="91"/>
      <c r="G47" s="92"/>
      <c r="H47" s="89"/>
      <c r="I47" s="89"/>
      <c r="J47" s="89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</row>
    <row r="48" ht="14.45" customHeight="1" spans="1:50">
      <c r="A48" s="93"/>
      <c r="B48" s="93"/>
      <c r="C48" s="93"/>
      <c r="D48" s="93"/>
      <c r="E48" s="93"/>
      <c r="F48" s="91"/>
      <c r="G48" s="92"/>
      <c r="H48" s="89"/>
      <c r="I48" s="89"/>
      <c r="J48" s="89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97"/>
    </row>
    <row r="49" ht="14.45" customHeight="1" spans="1:50">
      <c r="A49" s="93"/>
      <c r="B49" s="93"/>
      <c r="C49" s="93"/>
      <c r="D49" s="93"/>
      <c r="E49" s="93"/>
      <c r="F49" s="91"/>
      <c r="G49" s="92"/>
      <c r="H49" s="89"/>
      <c r="I49" s="89"/>
      <c r="J49" s="89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7"/>
      <c r="AL49" s="97"/>
      <c r="AM49" s="97"/>
      <c r="AN49" s="97"/>
      <c r="AO49" s="97"/>
      <c r="AP49" s="97"/>
      <c r="AQ49" s="97"/>
      <c r="AR49" s="97"/>
      <c r="AS49" s="97"/>
      <c r="AT49" s="97"/>
      <c r="AU49" s="97"/>
      <c r="AV49" s="97"/>
      <c r="AW49" s="97"/>
      <c r="AX49" s="97"/>
    </row>
    <row r="50" ht="14.45" customHeight="1" spans="1:50">
      <c r="A50" s="93"/>
      <c r="B50" s="93"/>
      <c r="C50" s="93"/>
      <c r="D50" s="93"/>
      <c r="E50" s="93"/>
      <c r="F50" s="91"/>
      <c r="G50" s="92"/>
      <c r="H50" s="89"/>
      <c r="I50" s="89"/>
      <c r="J50" s="89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</row>
    <row r="51" ht="14.45" customHeight="1" spans="1:50">
      <c r="A51" s="93"/>
      <c r="B51" s="93"/>
      <c r="C51" s="93"/>
      <c r="D51" s="93"/>
      <c r="E51" s="93"/>
      <c r="F51" s="91"/>
      <c r="G51" s="92"/>
      <c r="H51" s="89"/>
      <c r="I51" s="89"/>
      <c r="J51" s="89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  <c r="AJ51" s="97"/>
      <c r="AK51" s="97"/>
      <c r="AL51" s="97"/>
      <c r="AM51" s="97"/>
      <c r="AN51" s="97"/>
      <c r="AO51" s="97"/>
      <c r="AP51" s="97"/>
      <c r="AQ51" s="97"/>
      <c r="AR51" s="97"/>
      <c r="AS51" s="97"/>
      <c r="AT51" s="97"/>
      <c r="AU51" s="97"/>
      <c r="AV51" s="97"/>
      <c r="AW51" s="97"/>
      <c r="AX51" s="97"/>
    </row>
    <row r="52" ht="14.45" customHeight="1" spans="1:50">
      <c r="A52" s="93"/>
      <c r="B52" s="93"/>
      <c r="C52" s="93"/>
      <c r="D52" s="93"/>
      <c r="E52" s="93"/>
      <c r="F52" s="91"/>
      <c r="G52" s="92"/>
      <c r="H52" s="89"/>
      <c r="I52" s="89"/>
      <c r="J52" s="89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</row>
    <row r="53" ht="14.45" customHeight="1" spans="1:9">
      <c r="A53" s="93"/>
      <c r="B53" s="93"/>
      <c r="C53" s="93"/>
      <c r="D53" s="87"/>
      <c r="E53" s="93"/>
      <c r="I53" s="78"/>
    </row>
    <row r="54" ht="14.45" customHeight="1" spans="9:9">
      <c r="I54" s="78"/>
    </row>
    <row r="55" ht="14.45" customHeight="1" spans="9:9">
      <c r="I55" s="78"/>
    </row>
    <row r="56" ht="14.45" customHeight="1" spans="9:9">
      <c r="I56" s="78"/>
    </row>
    <row r="57" ht="14.45" customHeight="1" spans="9:9">
      <c r="I57" s="78"/>
    </row>
    <row r="58" ht="14.45" customHeight="1" spans="9:9">
      <c r="I58" s="78"/>
    </row>
    <row r="59" ht="14.45" customHeight="1" spans="9:9">
      <c r="I59" s="78"/>
    </row>
    <row r="60" ht="14.45" customHeight="1" spans="9:9">
      <c r="I60" s="78"/>
    </row>
    <row r="61" ht="14.45" customHeight="1" spans="9:9">
      <c r="I61" s="78"/>
    </row>
    <row r="62" ht="14.45" customHeight="1" spans="9:9">
      <c r="I62" s="78"/>
    </row>
    <row r="63" ht="14.45" customHeight="1" spans="9:9">
      <c r="I63" s="78"/>
    </row>
    <row r="64" ht="14.45" customHeight="1" spans="9:9">
      <c r="I64" s="78"/>
    </row>
    <row r="65" s="59" customFormat="1" ht="14.45" customHeight="1" spans="9:9">
      <c r="I65" s="78"/>
    </row>
    <row r="66" s="59" customFormat="1" ht="14.45" customHeight="1" spans="9:9">
      <c r="I66" s="78"/>
    </row>
    <row r="67" s="59" customFormat="1" ht="14.45" customHeight="1" spans="9:9">
      <c r="I67" s="78"/>
    </row>
    <row r="68" s="59" customFormat="1" ht="14.45" customHeight="1" spans="9:9">
      <c r="I68" s="78"/>
    </row>
    <row r="69" s="59" customFormat="1" ht="14.45" customHeight="1" spans="9:9">
      <c r="I69" s="78"/>
    </row>
    <row r="70" s="59" customFormat="1" ht="14.45" customHeight="1" spans="9:9">
      <c r="I70" s="78"/>
    </row>
    <row r="71" s="59" customFormat="1" ht="14.45" customHeight="1" spans="9:9">
      <c r="I71" s="78"/>
    </row>
    <row r="72" s="59" customFormat="1" ht="14.45" customHeight="1" spans="9:9">
      <c r="I72" s="78"/>
    </row>
    <row r="73" s="59" customFormat="1" ht="14.45" customHeight="1" spans="9:9">
      <c r="I73" s="78"/>
    </row>
    <row r="74" s="59" customFormat="1" ht="14.45" customHeight="1" spans="9:9">
      <c r="I74" s="78"/>
    </row>
    <row r="75" s="59" customFormat="1" ht="14.45" customHeight="1" spans="9:9">
      <c r="I75" s="78"/>
    </row>
    <row r="76" s="59" customFormat="1" ht="14.45" customHeight="1" spans="9:9">
      <c r="I76" s="78"/>
    </row>
    <row r="77" s="59" customFormat="1" ht="14.45" customHeight="1" spans="9:9">
      <c r="I77" s="78"/>
    </row>
    <row r="78" s="59" customFormat="1" ht="14.45" customHeight="1" spans="9:9">
      <c r="I78" s="78"/>
    </row>
    <row r="79" s="59" customFormat="1" ht="14.45" customHeight="1" spans="9:9">
      <c r="I79" s="78"/>
    </row>
    <row r="80" s="59" customFormat="1" ht="14.45" customHeight="1" spans="9:9">
      <c r="I80" s="78"/>
    </row>
    <row r="81" s="59" customFormat="1" ht="14.45" customHeight="1" spans="9:9">
      <c r="I81" s="78"/>
    </row>
    <row r="82" s="59" customFormat="1" ht="14.45" customHeight="1" spans="9:9">
      <c r="I82" s="78"/>
    </row>
    <row r="83" s="59" customFormat="1" ht="14.45" customHeight="1" spans="9:9">
      <c r="I83" s="78"/>
    </row>
    <row r="84" s="59" customFormat="1" ht="14.45" customHeight="1" spans="9:9">
      <c r="I84" s="78"/>
    </row>
    <row r="85" s="59" customFormat="1" ht="14.45" customHeight="1" spans="9:9">
      <c r="I85" s="78"/>
    </row>
    <row r="86" s="59" customFormat="1" ht="14.45" customHeight="1" spans="9:9">
      <c r="I86" s="78"/>
    </row>
    <row r="87" s="59" customFormat="1" ht="14.45" customHeight="1" spans="9:9">
      <c r="I87" s="78"/>
    </row>
    <row r="88" s="59" customFormat="1" ht="14.45" customHeight="1" spans="9:9">
      <c r="I88" s="78"/>
    </row>
    <row r="89" s="59" customFormat="1" ht="14.45" customHeight="1" spans="9:9">
      <c r="I89" s="78"/>
    </row>
    <row r="90" s="59" customFormat="1" ht="14.45" customHeight="1" spans="9:9">
      <c r="I90" s="78"/>
    </row>
    <row r="91" s="59" customFormat="1" ht="14.45" customHeight="1" spans="9:9">
      <c r="I91" s="78"/>
    </row>
    <row r="92" s="59" customFormat="1" ht="14.45" customHeight="1" spans="9:9">
      <c r="I92" s="78"/>
    </row>
    <row r="93" s="59" customFormat="1" ht="14.45" customHeight="1" spans="9:9">
      <c r="I93" s="78"/>
    </row>
    <row r="94" s="59" customFormat="1" ht="14.45" customHeight="1" spans="9:9">
      <c r="I94" s="78"/>
    </row>
    <row r="95" s="59" customFormat="1" ht="14.45" customHeight="1" spans="9:9">
      <c r="I95" s="78"/>
    </row>
    <row r="96" s="59" customFormat="1" ht="14.45" customHeight="1" spans="9:9">
      <c r="I96" s="78"/>
    </row>
    <row r="97" s="59" customFormat="1" ht="14.45" customHeight="1" spans="9:9">
      <c r="I97" s="78"/>
    </row>
    <row r="98" s="59" customFormat="1" ht="14.45" customHeight="1" spans="9:9">
      <c r="I98" s="78"/>
    </row>
    <row r="99" s="59" customFormat="1" ht="14.45" customHeight="1" spans="9:9">
      <c r="I99" s="78"/>
    </row>
    <row r="100" s="59" customFormat="1" ht="14.45" customHeight="1" spans="9:9">
      <c r="I100" s="78"/>
    </row>
    <row r="101" s="59" customFormat="1" ht="14.45" customHeight="1" spans="9:9">
      <c r="I101" s="78"/>
    </row>
    <row r="102" s="59" customFormat="1" ht="14.45" customHeight="1" spans="9:9">
      <c r="I102" s="78"/>
    </row>
    <row r="103" s="59" customFormat="1" ht="14.45" customHeight="1" spans="9:9">
      <c r="I103" s="78"/>
    </row>
    <row r="104" s="59" customFormat="1" ht="14.45" customHeight="1" spans="9:9">
      <c r="I104" s="78"/>
    </row>
    <row r="105" s="59" customFormat="1" ht="14.45" customHeight="1" spans="9:9">
      <c r="I105" s="78"/>
    </row>
    <row r="106" s="59" customFormat="1" ht="14.45" customHeight="1" spans="9:9">
      <c r="I106" s="78"/>
    </row>
    <row r="107" s="59" customFormat="1" ht="14.45" customHeight="1" spans="9:9">
      <c r="I107" s="78"/>
    </row>
    <row r="108" s="59" customFormat="1" ht="14.45" customHeight="1" spans="9:9">
      <c r="I108" s="78"/>
    </row>
    <row r="109" s="59" customFormat="1" ht="14.45" customHeight="1" spans="9:9">
      <c r="I109" s="78"/>
    </row>
    <row r="110" s="59" customFormat="1" ht="14.45" customHeight="1" spans="9:9">
      <c r="I110" s="78"/>
    </row>
    <row r="111" s="59" customFormat="1" ht="14.45" customHeight="1" spans="9:9">
      <c r="I111" s="78"/>
    </row>
    <row r="112" s="59" customFormat="1" ht="14.45" customHeight="1" spans="9:9">
      <c r="I112" s="78"/>
    </row>
    <row r="113" s="59" customFormat="1" ht="14.45" customHeight="1" spans="9:9">
      <c r="I113" s="78"/>
    </row>
    <row r="114" s="59" customFormat="1" ht="14.45" customHeight="1" spans="9:9">
      <c r="I114" s="78"/>
    </row>
    <row r="115" s="59" customFormat="1" ht="14.45" customHeight="1" spans="9:9">
      <c r="I115" s="78"/>
    </row>
    <row r="116" s="59" customFormat="1" ht="14.45" customHeight="1" spans="9:9">
      <c r="I116" s="78"/>
    </row>
    <row r="117" s="59" customFormat="1" ht="14.45" customHeight="1" spans="9:9">
      <c r="I117" s="78"/>
    </row>
    <row r="118" s="59" customFormat="1" ht="14.45" customHeight="1" spans="9:9">
      <c r="I118" s="78"/>
    </row>
    <row r="119" s="59" customFormat="1" ht="14.45" customHeight="1" spans="9:9">
      <c r="I119" s="78"/>
    </row>
    <row r="120" s="59" customFormat="1" ht="14.45" customHeight="1" spans="9:9">
      <c r="I120" s="78"/>
    </row>
    <row r="121" s="59" customFormat="1" ht="14.45" customHeight="1" spans="9:9">
      <c r="I121" s="78"/>
    </row>
    <row r="122" s="59" customFormat="1" ht="14.45" customHeight="1" spans="9:9">
      <c r="I122" s="78"/>
    </row>
    <row r="123" s="59" customFormat="1" ht="14.45" customHeight="1" spans="9:9">
      <c r="I123" s="78"/>
    </row>
    <row r="124" s="59" customFormat="1" ht="14.45" customHeight="1" spans="9:9">
      <c r="I124" s="78"/>
    </row>
    <row r="125" s="59" customFormat="1" ht="14.45" customHeight="1" spans="9:9">
      <c r="I125" s="78"/>
    </row>
    <row r="126" s="59" customFormat="1" ht="14.45" customHeight="1" spans="9:9">
      <c r="I126" s="78"/>
    </row>
    <row r="127" s="59" customFormat="1" ht="14.45" customHeight="1" spans="9:9">
      <c r="I127" s="78"/>
    </row>
    <row r="128" s="59" customFormat="1" ht="14.45" customHeight="1" spans="9:9">
      <c r="I128" s="78"/>
    </row>
    <row r="129" s="59" customFormat="1" ht="14.45" customHeight="1" spans="9:9">
      <c r="I129" s="78"/>
    </row>
    <row r="130" s="59" customFormat="1" ht="14.45" customHeight="1" spans="9:9">
      <c r="I130" s="78"/>
    </row>
    <row r="131" s="59" customFormat="1" ht="14.45" customHeight="1" spans="9:9">
      <c r="I131" s="78"/>
    </row>
    <row r="132" s="59" customFormat="1" ht="14.45" customHeight="1" spans="9:9">
      <c r="I132" s="78"/>
    </row>
    <row r="133" s="59" customFormat="1" ht="14.45" customHeight="1" spans="9:9">
      <c r="I133" s="78"/>
    </row>
    <row r="134" s="59" customFormat="1" ht="14.45" customHeight="1" spans="9:9">
      <c r="I134" s="78"/>
    </row>
    <row r="135" s="59" customFormat="1" ht="14.45" customHeight="1" spans="9:9">
      <c r="I135" s="78"/>
    </row>
    <row r="136" s="59" customFormat="1" ht="14.45" customHeight="1" spans="9:9">
      <c r="I136" s="78"/>
    </row>
    <row r="137" s="59" customFormat="1" ht="14.45" customHeight="1" spans="9:9">
      <c r="I137" s="78"/>
    </row>
    <row r="138" s="59" customFormat="1" ht="14.45" customHeight="1" spans="9:9">
      <c r="I138" s="78"/>
    </row>
    <row r="139" s="59" customFormat="1" ht="14.45" customHeight="1" spans="9:9">
      <c r="I139" s="78"/>
    </row>
    <row r="140" s="59" customFormat="1" ht="14.45" customHeight="1" spans="9:9">
      <c r="I140" s="78"/>
    </row>
    <row r="141" s="59" customFormat="1" ht="14.45" customHeight="1" spans="9:9">
      <c r="I141" s="78"/>
    </row>
    <row r="142" s="59" customFormat="1" ht="14.45" customHeight="1" spans="9:9">
      <c r="I142" s="78"/>
    </row>
    <row r="143" s="59" customFormat="1" ht="14.45" customHeight="1" spans="9:9">
      <c r="I143" s="78"/>
    </row>
    <row r="144" s="59" customFormat="1" ht="14.45" customHeight="1" spans="9:9">
      <c r="I144" s="78"/>
    </row>
    <row r="145" s="59" customFormat="1" ht="14.45" customHeight="1" spans="9:9">
      <c r="I145" s="78"/>
    </row>
    <row r="146" s="59" customFormat="1" ht="14.45" customHeight="1" spans="9:9">
      <c r="I146" s="78"/>
    </row>
    <row r="147" s="59" customFormat="1" ht="14.45" customHeight="1" spans="9:9">
      <c r="I147" s="78"/>
    </row>
    <row r="148" s="59" customFormat="1" ht="14.45" customHeight="1" spans="9:9">
      <c r="I148" s="78"/>
    </row>
    <row r="149" s="59" customFormat="1" ht="14.45" customHeight="1" spans="9:9">
      <c r="I149" s="78"/>
    </row>
    <row r="150" s="59" customFormat="1" ht="14.45" customHeight="1" spans="9:9">
      <c r="I150" s="78"/>
    </row>
    <row r="151" s="59" customFormat="1" ht="14.45" customHeight="1" spans="9:9">
      <c r="I151" s="78"/>
    </row>
    <row r="152" s="59" customFormat="1" ht="14.45" customHeight="1" spans="9:9">
      <c r="I152" s="78"/>
    </row>
    <row r="153" s="59" customFormat="1" ht="14.45" customHeight="1" spans="9:9">
      <c r="I153" s="78"/>
    </row>
    <row r="154" s="59" customFormat="1" ht="14.45" customHeight="1" spans="9:9">
      <c r="I154" s="78"/>
    </row>
    <row r="155" s="59" customFormat="1" ht="14.45" customHeight="1" spans="9:9">
      <c r="I155" s="78"/>
    </row>
    <row r="156" s="59" customFormat="1" ht="14.45" customHeight="1" spans="9:9">
      <c r="I156" s="78"/>
    </row>
    <row r="157" s="59" customFormat="1" ht="14.45" customHeight="1" spans="9:9">
      <c r="I157" s="78"/>
    </row>
    <row r="158" s="59" customFormat="1" ht="14.45" customHeight="1" spans="9:9">
      <c r="I158" s="78"/>
    </row>
    <row r="159" s="59" customFormat="1" ht="14.45" customHeight="1" spans="9:9">
      <c r="I159" s="78"/>
    </row>
    <row r="160" s="59" customFormat="1" ht="14.45" customHeight="1" spans="9:9">
      <c r="I160" s="78"/>
    </row>
    <row r="161" s="59" customFormat="1" ht="14.45" customHeight="1" spans="9:9">
      <c r="I161" s="78"/>
    </row>
    <row r="162" s="59" customFormat="1" ht="14.45" customHeight="1" spans="9:9">
      <c r="I162" s="78"/>
    </row>
    <row r="163" s="59" customFormat="1" ht="14.45" customHeight="1" spans="9:9">
      <c r="I163" s="78"/>
    </row>
    <row r="164" s="59" customFormat="1" ht="14.45" customHeight="1" spans="9:9">
      <c r="I164" s="78"/>
    </row>
    <row r="165" s="59" customFormat="1" ht="14.45" customHeight="1" spans="9:9">
      <c r="I165" s="78"/>
    </row>
    <row r="166" s="59" customFormat="1" ht="14.45" customHeight="1" spans="9:9">
      <c r="I166" s="78"/>
    </row>
    <row r="167" s="59" customFormat="1" ht="14.45" customHeight="1" spans="9:9">
      <c r="I167" s="78"/>
    </row>
    <row r="168" s="59" customFormat="1" ht="14.45" customHeight="1" spans="9:9">
      <c r="I168" s="78"/>
    </row>
    <row r="169" s="59" customFormat="1" ht="14.45" customHeight="1" spans="9:9">
      <c r="I169" s="78"/>
    </row>
    <row r="170" s="59" customFormat="1" ht="14.45" customHeight="1" spans="9:9">
      <c r="I170" s="78"/>
    </row>
    <row r="171" s="59" customFormat="1" ht="14.45" customHeight="1" spans="9:9">
      <c r="I171" s="78"/>
    </row>
    <row r="172" s="59" customFormat="1" ht="14.45" customHeight="1" spans="9:9">
      <c r="I172" s="78"/>
    </row>
    <row r="173" s="59" customFormat="1" ht="14.45" customHeight="1" spans="9:9">
      <c r="I173" s="78"/>
    </row>
    <row r="174" s="59" customFormat="1" ht="14.45" customHeight="1" spans="9:9">
      <c r="I174" s="78"/>
    </row>
    <row r="175" s="59" customFormat="1" ht="14.45" customHeight="1" spans="9:9">
      <c r="I175" s="78"/>
    </row>
    <row r="176" s="59" customFormat="1" ht="14.45" customHeight="1" spans="9:9">
      <c r="I176" s="78"/>
    </row>
    <row r="177" s="59" customFormat="1" ht="14.45" customHeight="1" spans="9:9">
      <c r="I177" s="78"/>
    </row>
    <row r="178" s="59" customFormat="1" ht="14.45" customHeight="1" spans="9:9">
      <c r="I178" s="78"/>
    </row>
    <row r="179" s="59" customFormat="1" ht="14.45" customHeight="1" spans="9:9">
      <c r="I179" s="78"/>
    </row>
    <row r="180" s="59" customFormat="1" ht="14.45" customHeight="1" spans="9:9">
      <c r="I180" s="78"/>
    </row>
    <row r="181" s="59" customFormat="1" ht="14.45" customHeight="1" spans="9:9">
      <c r="I181" s="78"/>
    </row>
    <row r="182" s="59" customFormat="1" ht="14.45" customHeight="1" spans="9:9">
      <c r="I182" s="78"/>
    </row>
    <row r="183" s="59" customFormat="1" ht="14.45" customHeight="1" spans="9:9">
      <c r="I183" s="78"/>
    </row>
    <row r="184" s="59" customFormat="1" ht="14.45" customHeight="1" spans="9:9">
      <c r="I184" s="78"/>
    </row>
    <row r="185" s="59" customFormat="1" ht="14.45" customHeight="1" spans="9:9">
      <c r="I185" s="78"/>
    </row>
    <row r="186" s="59" customFormat="1" ht="14.45" customHeight="1" spans="9:9">
      <c r="I186" s="78"/>
    </row>
    <row r="187" s="59" customFormat="1" ht="14.45" customHeight="1" spans="9:9">
      <c r="I187" s="78"/>
    </row>
    <row r="188" s="59" customFormat="1" ht="14.45" customHeight="1" spans="9:9">
      <c r="I188" s="78"/>
    </row>
    <row r="189" s="59" customFormat="1" ht="14.45" customHeight="1" spans="9:9">
      <c r="I189" s="78"/>
    </row>
    <row r="190" s="59" customFormat="1" ht="14.45" customHeight="1" spans="9:9">
      <c r="I190" s="78"/>
    </row>
    <row r="191" s="59" customFormat="1" ht="14.45" customHeight="1" spans="9:9">
      <c r="I191" s="78"/>
    </row>
    <row r="192" s="59" customFormat="1" ht="14.45" customHeight="1" spans="9:9">
      <c r="I192" s="78"/>
    </row>
    <row r="193" s="59" customFormat="1" ht="14.45" customHeight="1" spans="9:9">
      <c r="I193" s="78"/>
    </row>
    <row r="194" s="59" customFormat="1" ht="14.45" customHeight="1" spans="9:9">
      <c r="I194" s="78"/>
    </row>
    <row r="195" s="59" customFormat="1" ht="14.45" customHeight="1" spans="9:9">
      <c r="I195" s="78"/>
    </row>
    <row r="196" s="59" customFormat="1" ht="14.45" customHeight="1" spans="9:9">
      <c r="I196" s="78"/>
    </row>
    <row r="197" s="59" customFormat="1" ht="14.45" customHeight="1" spans="9:9">
      <c r="I197" s="78"/>
    </row>
    <row r="198" s="59" customFormat="1" ht="14.45" customHeight="1" spans="9:9">
      <c r="I198" s="78"/>
    </row>
    <row r="199" s="59" customFormat="1" ht="14.45" customHeight="1" spans="9:9">
      <c r="I199" s="78"/>
    </row>
    <row r="200" s="59" customFormat="1" ht="14.45" customHeight="1" spans="9:9">
      <c r="I200" s="78"/>
    </row>
    <row r="201" s="59" customFormat="1" ht="14.45" customHeight="1" spans="9:9">
      <c r="I201" s="78"/>
    </row>
    <row r="202" s="59" customFormat="1" ht="14.45" customHeight="1" spans="9:9">
      <c r="I202" s="78"/>
    </row>
    <row r="203" s="59" customFormat="1" ht="14.45" customHeight="1" spans="9:9">
      <c r="I203" s="78"/>
    </row>
    <row r="204" s="59" customFormat="1" ht="14.45" customHeight="1" spans="9:9">
      <c r="I204" s="78"/>
    </row>
    <row r="205" s="59" customFormat="1" ht="14.45" customHeight="1" spans="9:9">
      <c r="I205" s="78"/>
    </row>
    <row r="206" s="59" customFormat="1" ht="14.45" customHeight="1" spans="9:9">
      <c r="I206" s="78"/>
    </row>
    <row r="207" s="59" customFormat="1" ht="14.45" customHeight="1" spans="9:9">
      <c r="I207" s="78"/>
    </row>
    <row r="208" s="59" customFormat="1" ht="14.45" customHeight="1" spans="9:9">
      <c r="I208" s="78"/>
    </row>
    <row r="209" s="59" customFormat="1" ht="14.45" customHeight="1" spans="9:9">
      <c r="I209" s="78"/>
    </row>
    <row r="210" s="59" customFormat="1" ht="14.45" customHeight="1" spans="9:9">
      <c r="I210" s="78"/>
    </row>
    <row r="211" s="59" customFormat="1" ht="14.45" customHeight="1" spans="9:9">
      <c r="I211" s="78"/>
    </row>
    <row r="212" s="59" customFormat="1" ht="14.45" customHeight="1" spans="9:9">
      <c r="I212" s="78"/>
    </row>
    <row r="213" s="59" customFormat="1" ht="14.45" customHeight="1" spans="9:9">
      <c r="I213" s="78"/>
    </row>
    <row r="214" s="59" customFormat="1" ht="14.45" customHeight="1" spans="9:9">
      <c r="I214" s="78"/>
    </row>
    <row r="215" s="59" customFormat="1" ht="14.45" customHeight="1" spans="9:9">
      <c r="I215" s="78"/>
    </row>
    <row r="216" s="59" customFormat="1" ht="14.45" customHeight="1" spans="9:9">
      <c r="I216" s="78"/>
    </row>
    <row r="217" s="59" customFormat="1" ht="14.45" customHeight="1" spans="9:9">
      <c r="I217" s="78"/>
    </row>
    <row r="218" s="59" customFormat="1" ht="14.45" customHeight="1" spans="9:9">
      <c r="I218" s="78"/>
    </row>
    <row r="219" s="59" customFormat="1" ht="14.45" customHeight="1" spans="9:9">
      <c r="I219" s="78"/>
    </row>
    <row r="220" s="59" customFormat="1" ht="14.45" customHeight="1" spans="9:9">
      <c r="I220" s="78"/>
    </row>
    <row r="221" s="59" customFormat="1" ht="14.45" customHeight="1" spans="9:9">
      <c r="I221" s="78"/>
    </row>
    <row r="222" s="59" customFormat="1" ht="14.45" customHeight="1" spans="9:9">
      <c r="I222" s="78"/>
    </row>
    <row r="223" s="59" customFormat="1" ht="14.45" customHeight="1" spans="9:9">
      <c r="I223" s="78"/>
    </row>
    <row r="224" s="59" customFormat="1" ht="14.45" customHeight="1" spans="9:9">
      <c r="I224" s="78"/>
    </row>
    <row r="225" s="59" customFormat="1" ht="14.45" customHeight="1" spans="9:9">
      <c r="I225" s="78"/>
    </row>
    <row r="226" s="59" customFormat="1" ht="14.45" customHeight="1" spans="9:9">
      <c r="I226" s="78"/>
    </row>
    <row r="227" s="59" customFormat="1" ht="14.45" customHeight="1" spans="9:9">
      <c r="I227" s="78"/>
    </row>
    <row r="228" s="59" customFormat="1" ht="14.45" customHeight="1" spans="9:9">
      <c r="I228" s="78"/>
    </row>
    <row r="229" s="59" customFormat="1" ht="14.45" customHeight="1" spans="9:9">
      <c r="I229" s="78"/>
    </row>
    <row r="230" s="59" customFormat="1" ht="14.45" customHeight="1" spans="9:9">
      <c r="I230" s="78"/>
    </row>
    <row r="231" s="59" customFormat="1" ht="14.45" customHeight="1" spans="9:9">
      <c r="I231" s="78"/>
    </row>
    <row r="232" s="59" customFormat="1" ht="14.45" customHeight="1" spans="9:9">
      <c r="I232" s="78"/>
    </row>
    <row r="233" s="59" customFormat="1" ht="14.45" customHeight="1" spans="9:9">
      <c r="I233" s="78"/>
    </row>
    <row r="234" s="59" customFormat="1" ht="14.45" customHeight="1" spans="9:9">
      <c r="I234" s="78"/>
    </row>
    <row r="235" s="59" customFormat="1" ht="14.45" customHeight="1" spans="9:9">
      <c r="I235" s="78"/>
    </row>
    <row r="236" s="59" customFormat="1" ht="14.45" customHeight="1" spans="9:9">
      <c r="I236" s="78"/>
    </row>
    <row r="237" s="59" customFormat="1" ht="14.45" customHeight="1" spans="9:9">
      <c r="I237" s="78"/>
    </row>
    <row r="238" s="59" customFormat="1" ht="14.45" customHeight="1" spans="9:9">
      <c r="I238" s="78"/>
    </row>
    <row r="239" s="59" customFormat="1" ht="14.45" customHeight="1" spans="9:9">
      <c r="I239" s="78"/>
    </row>
    <row r="240" s="59" customFormat="1" ht="14.45" customHeight="1" spans="9:9">
      <c r="I240" s="78"/>
    </row>
    <row r="241" s="59" customFormat="1" ht="14.45" customHeight="1" spans="9:9">
      <c r="I241" s="78"/>
    </row>
    <row r="242" s="59" customFormat="1" ht="14.45" customHeight="1" spans="9:9">
      <c r="I242" s="78"/>
    </row>
    <row r="243" s="59" customFormat="1" ht="14.45" customHeight="1" spans="9:9">
      <c r="I243" s="78"/>
    </row>
    <row r="244" s="59" customFormat="1" ht="14.45" customHeight="1" spans="9:9">
      <c r="I244" s="78"/>
    </row>
    <row r="245" s="59" customFormat="1" ht="14.45" customHeight="1" spans="9:9">
      <c r="I245" s="78"/>
    </row>
    <row r="246" s="59" customFormat="1" ht="14.45" customHeight="1" spans="9:9">
      <c r="I246" s="78"/>
    </row>
    <row r="247" s="59" customFormat="1" ht="14.45" customHeight="1" spans="9:9">
      <c r="I247" s="78"/>
    </row>
    <row r="248" s="59" customFormat="1" ht="14.45" customHeight="1" spans="9:9">
      <c r="I248" s="78"/>
    </row>
    <row r="249" s="59" customFormat="1" ht="14.45" customHeight="1" spans="9:9">
      <c r="I249" s="78"/>
    </row>
    <row r="250" s="59" customFormat="1" ht="14.45" customHeight="1" spans="9:9">
      <c r="I250" s="78"/>
    </row>
    <row r="251" s="59" customFormat="1" ht="14.45" customHeight="1" spans="9:9">
      <c r="I251" s="78"/>
    </row>
    <row r="252" s="59" customFormat="1" ht="14.45" customHeight="1" spans="9:9">
      <c r="I252" s="78"/>
    </row>
    <row r="253" s="59" customFormat="1" ht="14.45" customHeight="1" spans="9:9">
      <c r="I253" s="78"/>
    </row>
    <row r="254" s="59" customFormat="1" ht="14.45" customHeight="1" spans="9:9">
      <c r="I254" s="78"/>
    </row>
    <row r="255" s="59" customFormat="1" ht="14.45" customHeight="1" spans="9:9">
      <c r="I255" s="78"/>
    </row>
    <row r="256" s="59" customFormat="1" ht="14.45" customHeight="1" spans="9:9">
      <c r="I256" s="78"/>
    </row>
    <row r="257" s="59" customFormat="1" ht="14.45" customHeight="1" spans="9:9">
      <c r="I257" s="78"/>
    </row>
    <row r="258" s="59" customFormat="1" ht="14.45" customHeight="1" spans="9:9">
      <c r="I258" s="78"/>
    </row>
    <row r="259" s="59" customFormat="1" ht="14.45" customHeight="1" spans="9:9">
      <c r="I259" s="78"/>
    </row>
    <row r="260" s="59" customFormat="1" ht="14.45" customHeight="1" spans="9:9">
      <c r="I260" s="78"/>
    </row>
    <row r="261" s="59" customFormat="1" ht="14.45" customHeight="1" spans="9:9">
      <c r="I261" s="78"/>
    </row>
    <row r="262" s="59" customFormat="1" ht="14.45" customHeight="1" spans="9:9">
      <c r="I262" s="78"/>
    </row>
    <row r="263" s="59" customFormat="1" ht="14.45" customHeight="1" spans="9:9">
      <c r="I263" s="78"/>
    </row>
    <row r="264" s="59" customFormat="1" ht="14.45" customHeight="1" spans="9:9">
      <c r="I264" s="78"/>
    </row>
    <row r="265" s="59" customFormat="1" ht="14.45" customHeight="1" spans="9:9">
      <c r="I265" s="78"/>
    </row>
    <row r="266" s="59" customFormat="1" ht="14.45" customHeight="1" spans="9:9">
      <c r="I266" s="78"/>
    </row>
    <row r="267" s="59" customFormat="1" ht="14.45" customHeight="1" spans="9:9">
      <c r="I267" s="78"/>
    </row>
    <row r="268" s="59" customFormat="1" ht="14.45" customHeight="1" spans="9:9">
      <c r="I268" s="78"/>
    </row>
    <row r="269" s="59" customFormat="1" ht="14.45" customHeight="1" spans="9:9">
      <c r="I269" s="78"/>
    </row>
    <row r="270" s="59" customFormat="1" ht="14.45" customHeight="1" spans="9:9">
      <c r="I270" s="78"/>
    </row>
    <row r="271" s="59" customFormat="1" ht="14.45" customHeight="1" spans="9:9">
      <c r="I271" s="78"/>
    </row>
    <row r="272" s="59" customFormat="1" ht="14.45" customHeight="1" spans="9:9">
      <c r="I272" s="78"/>
    </row>
    <row r="273" s="59" customFormat="1" ht="14.45" customHeight="1" spans="9:9">
      <c r="I273" s="78"/>
    </row>
    <row r="274" s="59" customFormat="1" ht="14.45" customHeight="1" spans="9:9">
      <c r="I274" s="78"/>
    </row>
    <row r="275" s="59" customFormat="1" ht="14.45" customHeight="1" spans="9:9">
      <c r="I275" s="78"/>
    </row>
    <row r="276" s="59" customFormat="1" ht="14.45" customHeight="1" spans="9:9">
      <c r="I276" s="78"/>
    </row>
    <row r="277" s="59" customFormat="1" ht="14.45" customHeight="1" spans="9:9">
      <c r="I277" s="78"/>
    </row>
    <row r="278" s="59" customFormat="1" ht="14.45" customHeight="1" spans="9:9">
      <c r="I278" s="78"/>
    </row>
    <row r="279" s="59" customFormat="1" ht="14.45" customHeight="1" spans="9:9">
      <c r="I279" s="78"/>
    </row>
    <row r="280" s="59" customFormat="1" ht="14.45" customHeight="1" spans="9:9">
      <c r="I280" s="78"/>
    </row>
    <row r="281" s="59" customFormat="1" ht="14.45" customHeight="1" spans="9:9">
      <c r="I281" s="78"/>
    </row>
    <row r="282" s="59" customFormat="1" ht="14.45" customHeight="1" spans="9:9">
      <c r="I282" s="78"/>
    </row>
    <row r="283" s="59" customFormat="1" ht="14.45" customHeight="1" spans="9:9">
      <c r="I283" s="78"/>
    </row>
    <row r="284" s="59" customFormat="1" ht="14.45" customHeight="1" spans="9:9">
      <c r="I284" s="78"/>
    </row>
    <row r="285" s="59" customFormat="1" ht="14.45" customHeight="1" spans="9:9">
      <c r="I285" s="78"/>
    </row>
    <row r="286" s="59" customFormat="1" ht="14.45" customHeight="1" spans="9:9">
      <c r="I286" s="78"/>
    </row>
    <row r="287" s="59" customFormat="1" ht="14.45" customHeight="1" spans="9:9">
      <c r="I287" s="78"/>
    </row>
    <row r="288" s="59" customFormat="1" ht="14.45" customHeight="1" spans="9:9">
      <c r="I288" s="78"/>
    </row>
    <row r="289" s="59" customFormat="1" ht="14.45" customHeight="1" spans="9:9">
      <c r="I289" s="78"/>
    </row>
    <row r="290" s="59" customFormat="1" ht="14.45" customHeight="1" spans="9:9">
      <c r="I290" s="78"/>
    </row>
    <row r="291" s="59" customFormat="1" ht="14.45" customHeight="1" spans="9:9">
      <c r="I291" s="78"/>
    </row>
    <row r="292" s="59" customFormat="1" ht="14.45" customHeight="1" spans="9:9">
      <c r="I292" s="78"/>
    </row>
    <row r="293" s="59" customFormat="1" ht="14.45" customHeight="1" spans="9:9">
      <c r="I293" s="78"/>
    </row>
    <row r="294" s="59" customFormat="1" ht="14.45" customHeight="1" spans="9:9">
      <c r="I294" s="78"/>
    </row>
    <row r="295" s="59" customFormat="1" ht="14.45" customHeight="1" spans="9:9">
      <c r="I295" s="78"/>
    </row>
    <row r="296" s="59" customFormat="1" ht="14.45" customHeight="1" spans="9:9">
      <c r="I296" s="78"/>
    </row>
    <row r="297" s="59" customFormat="1" ht="14.45" customHeight="1" spans="9:9">
      <c r="I297" s="78"/>
    </row>
    <row r="298" s="59" customFormat="1" ht="14.45" customHeight="1" spans="9:9">
      <c r="I298" s="78"/>
    </row>
    <row r="299" s="59" customFormat="1" ht="14.45" customHeight="1" spans="9:9">
      <c r="I299" s="78"/>
    </row>
    <row r="300" s="59" customFormat="1" ht="14.45" customHeight="1" spans="9:9">
      <c r="I300" s="78"/>
    </row>
    <row r="301" s="59" customFormat="1" ht="14.45" customHeight="1" spans="9:9">
      <c r="I301" s="78"/>
    </row>
    <row r="302" s="59" customFormat="1" ht="14.45" customHeight="1" spans="9:9">
      <c r="I302" s="78"/>
    </row>
    <row r="303" s="59" customFormat="1" ht="14.45" customHeight="1" spans="9:9">
      <c r="I303" s="78"/>
    </row>
    <row r="304" s="59" customFormat="1" ht="14.45" customHeight="1" spans="9:9">
      <c r="I304" s="78"/>
    </row>
    <row r="305" s="59" customFormat="1" ht="14.45" customHeight="1" spans="9:9">
      <c r="I305" s="78"/>
    </row>
    <row r="306" s="59" customFormat="1" ht="14.45" customHeight="1" spans="9:9">
      <c r="I306" s="78"/>
    </row>
    <row r="307" s="59" customFormat="1" ht="14.45" customHeight="1" spans="9:9">
      <c r="I307" s="78"/>
    </row>
    <row r="308" s="59" customFormat="1" ht="14.45" customHeight="1" spans="9:9">
      <c r="I308" s="78"/>
    </row>
    <row r="309" s="59" customFormat="1" ht="14.45" customHeight="1" spans="9:9">
      <c r="I309" s="78"/>
    </row>
    <row r="310" s="59" customFormat="1" ht="14.45" customHeight="1" spans="9:9">
      <c r="I310" s="78"/>
    </row>
    <row r="311" s="59" customFormat="1" ht="14.45" customHeight="1" spans="9:9">
      <c r="I311" s="78"/>
    </row>
    <row r="312" s="59" customFormat="1" ht="14.45" customHeight="1" spans="9:9">
      <c r="I312" s="78"/>
    </row>
    <row r="313" s="59" customFormat="1" ht="14.45" customHeight="1" spans="9:9">
      <c r="I313" s="78"/>
    </row>
    <row r="314" s="59" customFormat="1" ht="14.45" customHeight="1" spans="9:9">
      <c r="I314" s="78"/>
    </row>
    <row r="315" s="59" customFormat="1" ht="14.45" customHeight="1" spans="9:9">
      <c r="I315" s="78"/>
    </row>
    <row r="316" s="59" customFormat="1" ht="14.45" customHeight="1" spans="9:9">
      <c r="I316" s="78"/>
    </row>
    <row r="317" s="59" customFormat="1" ht="14.45" customHeight="1" spans="9:9">
      <c r="I317" s="78"/>
    </row>
    <row r="318" s="59" customFormat="1" ht="14.45" customHeight="1" spans="9:9">
      <c r="I318" s="78"/>
    </row>
    <row r="319" s="59" customFormat="1" ht="14.45" customHeight="1" spans="9:9">
      <c r="I319" s="78"/>
    </row>
    <row r="320" s="59" customFormat="1" ht="14.45" customHeight="1" spans="9:9">
      <c r="I320" s="78"/>
    </row>
    <row r="321" s="59" customFormat="1" ht="14.45" customHeight="1" spans="9:9">
      <c r="I321" s="78"/>
    </row>
    <row r="322" s="59" customFormat="1" ht="14.45" customHeight="1" spans="9:9">
      <c r="I322" s="78"/>
    </row>
    <row r="323" s="59" customFormat="1" ht="14.45" customHeight="1" spans="9:9">
      <c r="I323" s="78"/>
    </row>
    <row r="324" s="59" customFormat="1" ht="14.45" customHeight="1" spans="9:9">
      <c r="I324" s="78"/>
    </row>
    <row r="325" s="59" customFormat="1" ht="14.45" customHeight="1" spans="9:9">
      <c r="I325" s="78"/>
    </row>
    <row r="326" s="59" customFormat="1" ht="14.45" customHeight="1" spans="9:9">
      <c r="I326" s="78"/>
    </row>
    <row r="327" s="59" customFormat="1" ht="14.45" customHeight="1" spans="9:9">
      <c r="I327" s="78"/>
    </row>
    <row r="328" s="59" customFormat="1" ht="14.45" customHeight="1" spans="9:9">
      <c r="I328" s="78"/>
    </row>
    <row r="329" s="59" customFormat="1" ht="14.45" customHeight="1" spans="9:9">
      <c r="I329" s="78"/>
    </row>
    <row r="330" s="59" customFormat="1" ht="14.45" customHeight="1" spans="9:9">
      <c r="I330" s="78"/>
    </row>
    <row r="331" s="59" customFormat="1" ht="14.45" customHeight="1" spans="9:9">
      <c r="I331" s="78"/>
    </row>
    <row r="332" s="59" customFormat="1" ht="14.45" customHeight="1" spans="9:9">
      <c r="I332" s="78"/>
    </row>
    <row r="333" s="59" customFormat="1" ht="14.45" customHeight="1" spans="9:9">
      <c r="I333" s="78"/>
    </row>
    <row r="334" s="59" customFormat="1" ht="14.45" customHeight="1" spans="9:9">
      <c r="I334" s="78"/>
    </row>
    <row r="335" s="59" customFormat="1" ht="14.45" customHeight="1" spans="9:9">
      <c r="I335" s="78"/>
    </row>
    <row r="336" s="59" customFormat="1" ht="14.45" customHeight="1" spans="9:9">
      <c r="I336" s="78"/>
    </row>
    <row r="337" s="59" customFormat="1" ht="14.45" customHeight="1" spans="9:9">
      <c r="I337" s="78"/>
    </row>
    <row r="338" s="59" customFormat="1" ht="14.45" customHeight="1" spans="9:9">
      <c r="I338" s="78"/>
    </row>
    <row r="339" s="59" customFormat="1" ht="14.45" customHeight="1" spans="9:9">
      <c r="I339" s="78"/>
    </row>
    <row r="340" s="59" customFormat="1" ht="14.45" customHeight="1" spans="9:9">
      <c r="I340" s="78"/>
    </row>
    <row r="341" s="59" customFormat="1" ht="14.45" customHeight="1" spans="9:9">
      <c r="I341" s="78"/>
    </row>
    <row r="342" s="59" customFormat="1" ht="14.45" customHeight="1" spans="9:9">
      <c r="I342" s="78"/>
    </row>
    <row r="343" s="59" customFormat="1" ht="14.45" customHeight="1" spans="9:9">
      <c r="I343" s="78"/>
    </row>
    <row r="344" s="59" customFormat="1" ht="14.45" customHeight="1" spans="9:9">
      <c r="I344" s="78"/>
    </row>
    <row r="345" s="59" customFormat="1" ht="14.45" customHeight="1" spans="9:9">
      <c r="I345" s="78"/>
    </row>
    <row r="346" s="59" customFormat="1" ht="14.45" customHeight="1" spans="9:9">
      <c r="I346" s="78"/>
    </row>
    <row r="347" s="59" customFormat="1" ht="14.45" customHeight="1" spans="9:9">
      <c r="I347" s="78"/>
    </row>
    <row r="348" s="59" customFormat="1" ht="14.45" customHeight="1" spans="9:9">
      <c r="I348" s="78"/>
    </row>
    <row r="349" s="59" customFormat="1" ht="14.45" customHeight="1" spans="9:9">
      <c r="I349" s="78"/>
    </row>
    <row r="350" s="59" customFormat="1" ht="14.45" customHeight="1" spans="9:9">
      <c r="I350" s="78"/>
    </row>
    <row r="351" s="59" customFormat="1" ht="14.45" customHeight="1" spans="9:9">
      <c r="I351" s="78"/>
    </row>
    <row r="352" s="59" customFormat="1" ht="14.45" customHeight="1" spans="9:9">
      <c r="I352" s="78"/>
    </row>
    <row r="353" s="59" customFormat="1" ht="14.45" customHeight="1" spans="9:9">
      <c r="I353" s="78"/>
    </row>
    <row r="354" s="59" customFormat="1" ht="14.45" customHeight="1" spans="9:9">
      <c r="I354" s="78"/>
    </row>
    <row r="355" s="59" customFormat="1" ht="14.45" customHeight="1" spans="9:9">
      <c r="I355" s="78"/>
    </row>
    <row r="356" s="59" customFormat="1" ht="14.45" customHeight="1" spans="9:9">
      <c r="I356" s="78"/>
    </row>
    <row r="357" s="59" customFormat="1" ht="14.45" customHeight="1" spans="9:9">
      <c r="I357" s="78"/>
    </row>
    <row r="358" s="59" customFormat="1" ht="14.45" customHeight="1" spans="9:9">
      <c r="I358" s="78"/>
    </row>
    <row r="359" s="59" customFormat="1" ht="14.45" customHeight="1" spans="9:9">
      <c r="I359" s="78"/>
    </row>
    <row r="360" s="59" customFormat="1" ht="14.45" customHeight="1" spans="9:9">
      <c r="I360" s="78"/>
    </row>
    <row r="361" s="59" customFormat="1" ht="14.45" customHeight="1" spans="9:9">
      <c r="I361" s="78"/>
    </row>
    <row r="362" s="59" customFormat="1" ht="14.45" customHeight="1" spans="9:9">
      <c r="I362" s="78"/>
    </row>
    <row r="363" s="59" customFormat="1" ht="14.45" customHeight="1" spans="9:9">
      <c r="I363" s="78"/>
    </row>
    <row r="364" s="59" customFormat="1" ht="14.45" customHeight="1" spans="9:9">
      <c r="I364" s="78"/>
    </row>
    <row r="365" s="59" customFormat="1" ht="14.45" customHeight="1" spans="9:9">
      <c r="I365" s="78"/>
    </row>
    <row r="366" s="59" customFormat="1" ht="14.45" customHeight="1" spans="9:9">
      <c r="I366" s="78"/>
    </row>
    <row r="367" s="59" customFormat="1" ht="14.45" customHeight="1" spans="9:9">
      <c r="I367" s="78"/>
    </row>
    <row r="368" s="59" customFormat="1" ht="14.45" customHeight="1" spans="9:9">
      <c r="I368" s="78"/>
    </row>
    <row r="369" s="59" customFormat="1" ht="14.45" customHeight="1" spans="9:9">
      <c r="I369" s="78"/>
    </row>
    <row r="370" s="59" customFormat="1" ht="14.45" customHeight="1" spans="9:9">
      <c r="I370" s="78"/>
    </row>
    <row r="371" s="59" customFormat="1" ht="14.45" customHeight="1" spans="9:9">
      <c r="I371" s="78"/>
    </row>
    <row r="372" s="59" customFormat="1" ht="14.45" customHeight="1" spans="9:9">
      <c r="I372" s="78"/>
    </row>
    <row r="373" s="59" customFormat="1" ht="14.45" customHeight="1" spans="9:9">
      <c r="I373" s="78"/>
    </row>
    <row r="374" s="59" customFormat="1" ht="14.45" customHeight="1" spans="9:9">
      <c r="I374" s="78"/>
    </row>
    <row r="375" s="59" customFormat="1" ht="14.45" customHeight="1" spans="9:9">
      <c r="I375" s="78"/>
    </row>
    <row r="376" s="59" customFormat="1" ht="14.45" customHeight="1" spans="9:9">
      <c r="I376" s="78"/>
    </row>
    <row r="377" s="59" customFormat="1" ht="14.45" customHeight="1" spans="9:9">
      <c r="I377" s="78"/>
    </row>
    <row r="378" s="59" customFormat="1" ht="14.45" customHeight="1" spans="9:9">
      <c r="I378" s="78"/>
    </row>
    <row r="379" s="59" customFormat="1" ht="14.45" customHeight="1" spans="9:9">
      <c r="I379" s="78"/>
    </row>
    <row r="380" s="59" customFormat="1" ht="14.45" customHeight="1" spans="9:9">
      <c r="I380" s="78"/>
    </row>
    <row r="381" s="59" customFormat="1" ht="14.45" customHeight="1" spans="9:9">
      <c r="I381" s="78"/>
    </row>
    <row r="382" s="59" customFormat="1" ht="14.45" customHeight="1" spans="9:9">
      <c r="I382" s="78"/>
    </row>
    <row r="383" s="59" customFormat="1" ht="14.45" customHeight="1" spans="9:9">
      <c r="I383" s="78"/>
    </row>
    <row r="384" s="59" customFormat="1" ht="14.45" customHeight="1" spans="9:9">
      <c r="I384" s="78"/>
    </row>
    <row r="385" s="59" customFormat="1" ht="14.45" customHeight="1" spans="9:9">
      <c r="I385" s="78"/>
    </row>
    <row r="386" s="59" customFormat="1" ht="14.45" customHeight="1" spans="9:9">
      <c r="I386" s="78"/>
    </row>
    <row r="387" s="59" customFormat="1" ht="14.45" customHeight="1" spans="9:9">
      <c r="I387" s="78"/>
    </row>
    <row r="388" s="59" customFormat="1" ht="14.45" customHeight="1" spans="9:9">
      <c r="I388" s="78"/>
    </row>
    <row r="389" s="59" customFormat="1" ht="14.45" customHeight="1" spans="9:9">
      <c r="I389" s="78"/>
    </row>
    <row r="390" s="59" customFormat="1" ht="14.45" customHeight="1" spans="9:9">
      <c r="I390" s="78"/>
    </row>
    <row r="391" s="59" customFormat="1" ht="14.45" customHeight="1" spans="9:9">
      <c r="I391" s="78"/>
    </row>
    <row r="392" s="59" customFormat="1" ht="14.45" customHeight="1" spans="9:9">
      <c r="I392" s="78"/>
    </row>
    <row r="393" s="59" customFormat="1" ht="14.45" customHeight="1" spans="9:9">
      <c r="I393" s="78"/>
    </row>
    <row r="394" s="59" customFormat="1" ht="14.45" customHeight="1" spans="9:9">
      <c r="I394" s="78"/>
    </row>
    <row r="395" s="59" customFormat="1" ht="14.45" customHeight="1" spans="9:9">
      <c r="I395" s="78"/>
    </row>
    <row r="396" s="59" customFormat="1" ht="14.45" customHeight="1" spans="9:9">
      <c r="I396" s="78"/>
    </row>
    <row r="397" s="59" customFormat="1" ht="14.45" customHeight="1" spans="9:9">
      <c r="I397" s="78"/>
    </row>
    <row r="398" s="59" customFormat="1" ht="14.45" customHeight="1" spans="9:9">
      <c r="I398" s="78"/>
    </row>
    <row r="399" s="59" customFormat="1" ht="14.45" customHeight="1" spans="9:9">
      <c r="I399" s="78"/>
    </row>
    <row r="400" s="59" customFormat="1" ht="14.45" customHeight="1" spans="9:9">
      <c r="I400" s="78"/>
    </row>
    <row r="401" s="59" customFormat="1" ht="14.45" customHeight="1" spans="9:9">
      <c r="I401" s="78"/>
    </row>
    <row r="402" s="59" customFormat="1" ht="14.45" customHeight="1" spans="9:9">
      <c r="I402" s="78"/>
    </row>
    <row r="403" s="59" customFormat="1" ht="14.45" customHeight="1" spans="9:9">
      <c r="I403" s="78"/>
    </row>
    <row r="404" s="59" customFormat="1" ht="14.45" customHeight="1" spans="9:9">
      <c r="I404" s="78"/>
    </row>
    <row r="405" s="59" customFormat="1" ht="14.45" customHeight="1" spans="9:9">
      <c r="I405" s="78"/>
    </row>
    <row r="406" s="59" customFormat="1" ht="14.45" customHeight="1" spans="9:9">
      <c r="I406" s="78"/>
    </row>
    <row r="407" s="59" customFormat="1" ht="14.45" customHeight="1" spans="9:9">
      <c r="I407" s="78"/>
    </row>
    <row r="408" s="59" customFormat="1" ht="14.45" customHeight="1" spans="9:9">
      <c r="I408" s="78"/>
    </row>
    <row r="409" s="59" customFormat="1" ht="14.45" customHeight="1" spans="9:9">
      <c r="I409" s="78"/>
    </row>
    <row r="410" s="59" customFormat="1" ht="14.45" customHeight="1" spans="9:9">
      <c r="I410" s="78"/>
    </row>
    <row r="411" s="59" customFormat="1" ht="14.45" customHeight="1" spans="9:9">
      <c r="I411" s="78"/>
    </row>
    <row r="412" s="59" customFormat="1" ht="14.45" customHeight="1" spans="9:9">
      <c r="I412" s="78"/>
    </row>
    <row r="413" s="59" customFormat="1" ht="14.45" customHeight="1" spans="9:9">
      <c r="I413" s="78"/>
    </row>
    <row r="414" s="59" customFormat="1" ht="14.45" customHeight="1" spans="9:9">
      <c r="I414" s="78"/>
    </row>
    <row r="415" s="59" customFormat="1" ht="14.45" customHeight="1" spans="9:9">
      <c r="I415" s="78"/>
    </row>
    <row r="416" s="59" customFormat="1" ht="14.45" customHeight="1" spans="9:9">
      <c r="I416" s="78"/>
    </row>
    <row r="417" s="59" customFormat="1" ht="14.45" customHeight="1" spans="9:9">
      <c r="I417" s="78"/>
    </row>
    <row r="418" s="59" customFormat="1" ht="14.45" customHeight="1" spans="9:9">
      <c r="I418" s="78"/>
    </row>
    <row r="419" s="59" customFormat="1" ht="14.45" customHeight="1" spans="9:9">
      <c r="I419" s="78"/>
    </row>
    <row r="420" s="59" customFormat="1" ht="14.45" customHeight="1" spans="9:9">
      <c r="I420" s="78"/>
    </row>
    <row r="421" s="59" customFormat="1" ht="14.45" customHeight="1" spans="9:9">
      <c r="I421" s="78"/>
    </row>
    <row r="422" s="59" customFormat="1" ht="14.45" customHeight="1" spans="9:9">
      <c r="I422" s="78"/>
    </row>
    <row r="423" s="59" customFormat="1" ht="14.45" customHeight="1" spans="9:9">
      <c r="I423" s="78"/>
    </row>
    <row r="424" s="59" customFormat="1" ht="14.45" customHeight="1" spans="9:9">
      <c r="I424" s="78"/>
    </row>
    <row r="425" s="59" customFormat="1" ht="14.45" customHeight="1" spans="9:9">
      <c r="I425" s="78"/>
    </row>
    <row r="426" s="59" customFormat="1" ht="14.45" customHeight="1" spans="9:9">
      <c r="I426" s="78"/>
    </row>
    <row r="427" s="59" customFormat="1" ht="14.45" customHeight="1" spans="9:9">
      <c r="I427" s="78"/>
    </row>
    <row r="428" s="59" customFormat="1" ht="14.45" customHeight="1" spans="9:9">
      <c r="I428" s="78"/>
    </row>
    <row r="429" s="59" customFormat="1" ht="14.45" customHeight="1" spans="9:9">
      <c r="I429" s="78"/>
    </row>
    <row r="430" s="59" customFormat="1" ht="14.45" customHeight="1" spans="9:9">
      <c r="I430" s="78"/>
    </row>
    <row r="431" s="59" customFormat="1" ht="14.45" customHeight="1" spans="9:9">
      <c r="I431" s="78"/>
    </row>
    <row r="432" s="59" customFormat="1" ht="14.45" customHeight="1" spans="9:9">
      <c r="I432" s="78"/>
    </row>
    <row r="433" s="59" customFormat="1" ht="14.45" customHeight="1" spans="9:9">
      <c r="I433" s="78"/>
    </row>
    <row r="434" s="59" customFormat="1" ht="14.45" customHeight="1" spans="9:9">
      <c r="I434" s="78"/>
    </row>
    <row r="435" s="59" customFormat="1" ht="14.45" customHeight="1" spans="9:9">
      <c r="I435" s="78"/>
    </row>
    <row r="436" s="59" customFormat="1" ht="14.45" customHeight="1" spans="9:9">
      <c r="I436" s="78"/>
    </row>
    <row r="437" s="59" customFormat="1" ht="14.45" customHeight="1" spans="9:9">
      <c r="I437" s="78"/>
    </row>
    <row r="438" s="59" customFormat="1" ht="14.45" customHeight="1" spans="9:9">
      <c r="I438" s="78"/>
    </row>
    <row r="439" s="59" customFormat="1" ht="14.45" customHeight="1" spans="9:9">
      <c r="I439" s="78"/>
    </row>
    <row r="440" s="59" customFormat="1" ht="14.45" customHeight="1" spans="9:9">
      <c r="I440" s="78"/>
    </row>
    <row r="441" s="59" customFormat="1" ht="14.45" customHeight="1" spans="9:9">
      <c r="I441" s="78"/>
    </row>
    <row r="442" s="59" customFormat="1" ht="14.45" customHeight="1" spans="9:9">
      <c r="I442" s="78"/>
    </row>
    <row r="443" s="59" customFormat="1" ht="14.45" customHeight="1" spans="9:9">
      <c r="I443" s="78"/>
    </row>
    <row r="444" s="59" customFormat="1" ht="14.45" customHeight="1" spans="9:9">
      <c r="I444" s="78"/>
    </row>
    <row r="445" s="59" customFormat="1" ht="14.45" customHeight="1" spans="9:9">
      <c r="I445" s="78"/>
    </row>
    <row r="446" s="59" customFormat="1" ht="14.45" customHeight="1" spans="9:9">
      <c r="I446" s="78"/>
    </row>
    <row r="447" s="59" customFormat="1" ht="14.45" customHeight="1" spans="9:9">
      <c r="I447" s="78"/>
    </row>
    <row r="448" s="59" customFormat="1" ht="14.45" customHeight="1" spans="9:9">
      <c r="I448" s="78"/>
    </row>
    <row r="449" s="59" customFormat="1" ht="14.45" customHeight="1" spans="9:9">
      <c r="I449" s="78"/>
    </row>
    <row r="450" s="59" customFormat="1" ht="14.45" customHeight="1" spans="9:9">
      <c r="I450" s="78"/>
    </row>
    <row r="451" s="59" customFormat="1" ht="14.45" customHeight="1" spans="9:9">
      <c r="I451" s="78"/>
    </row>
    <row r="452" s="59" customFormat="1" ht="14.45" customHeight="1" spans="9:9">
      <c r="I452" s="78"/>
    </row>
    <row r="453" s="59" customFormat="1" ht="14.45" customHeight="1" spans="9:9">
      <c r="I453" s="78"/>
    </row>
    <row r="454" s="59" customFormat="1" ht="14.45" customHeight="1" spans="9:9">
      <c r="I454" s="78"/>
    </row>
    <row r="455" s="59" customFormat="1" ht="14.45" customHeight="1" spans="9:9">
      <c r="I455" s="78"/>
    </row>
    <row r="456" s="59" customFormat="1" ht="14.45" customHeight="1" spans="9:9">
      <c r="I456" s="78"/>
    </row>
    <row r="457" s="59" customFormat="1" ht="14.45" customHeight="1" spans="9:9">
      <c r="I457" s="78"/>
    </row>
    <row r="458" s="59" customFormat="1" ht="14.45" customHeight="1" spans="9:9">
      <c r="I458" s="78"/>
    </row>
    <row r="459" s="59" customFormat="1" ht="14.45" customHeight="1" spans="9:9">
      <c r="I459" s="78"/>
    </row>
    <row r="460" s="59" customFormat="1" ht="14.45" customHeight="1" spans="9:9">
      <c r="I460" s="78"/>
    </row>
    <row r="461" s="59" customFormat="1" ht="14.45" customHeight="1" spans="9:9">
      <c r="I461" s="78"/>
    </row>
    <row r="462" s="59" customFormat="1" ht="14.45" customHeight="1" spans="9:9">
      <c r="I462" s="78"/>
    </row>
    <row r="463" s="59" customFormat="1" ht="14.45" customHeight="1" spans="9:9">
      <c r="I463" s="78"/>
    </row>
    <row r="464" s="59" customFormat="1" ht="14.45" customHeight="1" spans="9:9">
      <c r="I464" s="78"/>
    </row>
    <row r="465" s="59" customFormat="1" ht="14.45" customHeight="1" spans="9:9">
      <c r="I465" s="78"/>
    </row>
    <row r="466" s="59" customFormat="1" ht="14.45" customHeight="1" spans="9:9">
      <c r="I466" s="78"/>
    </row>
    <row r="467" s="59" customFormat="1" ht="14.45" customHeight="1" spans="9:9">
      <c r="I467" s="78"/>
    </row>
    <row r="468" s="59" customFormat="1" ht="14.45" customHeight="1" spans="9:9">
      <c r="I468" s="78"/>
    </row>
    <row r="469" s="59" customFormat="1" ht="14.45" customHeight="1" spans="9:9">
      <c r="I469" s="78"/>
    </row>
    <row r="470" s="59" customFormat="1" ht="14.45" customHeight="1" spans="9:9">
      <c r="I470" s="78"/>
    </row>
    <row r="471" s="59" customFormat="1" ht="14.45" customHeight="1" spans="9:9">
      <c r="I471" s="78"/>
    </row>
    <row r="472" s="59" customFormat="1" ht="14.45" customHeight="1" spans="9:9">
      <c r="I472" s="78"/>
    </row>
    <row r="473" s="59" customFormat="1" ht="14.45" customHeight="1" spans="9:9">
      <c r="I473" s="78"/>
    </row>
    <row r="474" s="59" customFormat="1" ht="14.45" customHeight="1" spans="9:9">
      <c r="I474" s="78"/>
    </row>
    <row r="475" s="59" customFormat="1" ht="14.45" customHeight="1" spans="9:9">
      <c r="I475" s="78"/>
    </row>
    <row r="476" s="59" customFormat="1" ht="14.45" customHeight="1" spans="9:9">
      <c r="I476" s="78"/>
    </row>
    <row r="477" s="59" customFormat="1" ht="14.45" customHeight="1" spans="9:9">
      <c r="I477" s="78"/>
    </row>
    <row r="478" s="59" customFormat="1" ht="14.45" customHeight="1" spans="9:9">
      <c r="I478" s="78"/>
    </row>
    <row r="479" s="59" customFormat="1" ht="14.45" customHeight="1" spans="9:9">
      <c r="I479" s="78"/>
    </row>
    <row r="480" s="59" customFormat="1" ht="14.45" customHeight="1" spans="9:9">
      <c r="I480" s="78"/>
    </row>
    <row r="481" s="59" customFormat="1" ht="14.45" customHeight="1" spans="9:9">
      <c r="I481" s="78"/>
    </row>
    <row r="482" s="59" customFormat="1" ht="14.45" customHeight="1" spans="9:9">
      <c r="I482" s="78"/>
    </row>
    <row r="483" s="59" customFormat="1" ht="14.45" customHeight="1" spans="9:9">
      <c r="I483" s="78"/>
    </row>
    <row r="484" s="59" customFormat="1" ht="14.45" customHeight="1" spans="9:9">
      <c r="I484" s="78"/>
    </row>
    <row r="485" s="59" customFormat="1" ht="14.45" customHeight="1" spans="9:9">
      <c r="I485" s="78"/>
    </row>
    <row r="486" s="59" customFormat="1" ht="14.45" customHeight="1" spans="9:9">
      <c r="I486" s="78"/>
    </row>
    <row r="487" s="59" customFormat="1" ht="14.45" customHeight="1" spans="9:9">
      <c r="I487" s="78"/>
    </row>
    <row r="488" s="59" customFormat="1" ht="14.45" customHeight="1" spans="9:9">
      <c r="I488" s="78"/>
    </row>
    <row r="489" s="59" customFormat="1" ht="14.45" customHeight="1" spans="9:9">
      <c r="I489" s="78"/>
    </row>
    <row r="490" s="59" customFormat="1" ht="14.45" customHeight="1" spans="9:9">
      <c r="I490" s="78"/>
    </row>
    <row r="491" s="59" customFormat="1" ht="14.45" customHeight="1" spans="9:9">
      <c r="I491" s="78"/>
    </row>
    <row r="492" s="59" customFormat="1" ht="14.45" customHeight="1" spans="9:9">
      <c r="I492" s="78"/>
    </row>
    <row r="493" s="59" customFormat="1" ht="14.45" customHeight="1" spans="9:9">
      <c r="I493" s="78"/>
    </row>
    <row r="494" s="59" customFormat="1" ht="14.45" customHeight="1" spans="9:9">
      <c r="I494" s="78"/>
    </row>
    <row r="495" s="59" customFormat="1" ht="14.45" customHeight="1" spans="9:9">
      <c r="I495" s="78"/>
    </row>
    <row r="496" s="59" customFormat="1" ht="14.45" customHeight="1" spans="9:9">
      <c r="I496" s="78"/>
    </row>
    <row r="497" s="59" customFormat="1" ht="14.45" customHeight="1" spans="9:9">
      <c r="I497" s="78"/>
    </row>
    <row r="498" s="59" customFormat="1" ht="14.45" customHeight="1" spans="9:9">
      <c r="I498" s="78"/>
    </row>
    <row r="499" s="59" customFormat="1" ht="14.45" customHeight="1" spans="9:9">
      <c r="I499" s="78"/>
    </row>
    <row r="500" s="59" customFormat="1" ht="14.45" customHeight="1" spans="9:9">
      <c r="I500" s="78"/>
    </row>
    <row r="501" s="59" customFormat="1" ht="14.45" customHeight="1" spans="9:9">
      <c r="I501" s="78"/>
    </row>
    <row r="502" s="59" customFormat="1" ht="14.45" customHeight="1" spans="9:9">
      <c r="I502" s="78"/>
    </row>
    <row r="503" s="59" customFormat="1" ht="14.45" customHeight="1" spans="9:9">
      <c r="I503" s="78"/>
    </row>
    <row r="504" s="59" customFormat="1" ht="14.45" customHeight="1" spans="9:9">
      <c r="I504" s="78"/>
    </row>
    <row r="505" s="59" customFormat="1" ht="14.45" customHeight="1" spans="9:9">
      <c r="I505" s="78"/>
    </row>
    <row r="506" s="59" customFormat="1" ht="14.45" customHeight="1" spans="9:9">
      <c r="I506" s="78"/>
    </row>
    <row r="507" s="59" customFormat="1" ht="14.45" customHeight="1" spans="9:9">
      <c r="I507" s="78"/>
    </row>
    <row r="508" s="59" customFormat="1" ht="14.45" customHeight="1" spans="9:9">
      <c r="I508" s="78"/>
    </row>
    <row r="509" s="59" customFormat="1" ht="14.45" customHeight="1" spans="9:9">
      <c r="I509" s="78"/>
    </row>
    <row r="510" s="59" customFormat="1" ht="14.45" customHeight="1" spans="9:9">
      <c r="I510" s="78"/>
    </row>
    <row r="511" s="59" customFormat="1" ht="14.45" customHeight="1" spans="9:9">
      <c r="I511" s="78"/>
    </row>
    <row r="512" s="59" customFormat="1" ht="14.45" customHeight="1" spans="9:9">
      <c r="I512" s="78"/>
    </row>
    <row r="513" s="59" customFormat="1" ht="14.45" customHeight="1" spans="9:9">
      <c r="I513" s="78"/>
    </row>
    <row r="514" s="59" customFormat="1" ht="14.45" customHeight="1" spans="9:9">
      <c r="I514" s="78"/>
    </row>
    <row r="515" s="59" customFormat="1" ht="14.45" customHeight="1" spans="9:9">
      <c r="I515" s="78"/>
    </row>
    <row r="516" s="59" customFormat="1" ht="14.45" customHeight="1" spans="9:9">
      <c r="I516" s="78"/>
    </row>
    <row r="517" s="59" customFormat="1" ht="14.45" customHeight="1" spans="9:9">
      <c r="I517" s="78"/>
    </row>
    <row r="518" s="59" customFormat="1" ht="14.45" customHeight="1" spans="9:9">
      <c r="I518" s="78"/>
    </row>
    <row r="519" s="59" customFormat="1" ht="14.45" customHeight="1" spans="9:9">
      <c r="I519" s="78"/>
    </row>
    <row r="520" s="59" customFormat="1" ht="14.45" customHeight="1" spans="9:9">
      <c r="I520" s="78"/>
    </row>
    <row r="521" s="59" customFormat="1" ht="14.45" customHeight="1" spans="9:9">
      <c r="I521" s="78"/>
    </row>
    <row r="522" s="59" customFormat="1" ht="14.45" customHeight="1" spans="9:9">
      <c r="I522" s="78"/>
    </row>
    <row r="523" s="59" customFormat="1" ht="14.45" customHeight="1" spans="9:9">
      <c r="I523" s="78"/>
    </row>
    <row r="524" s="59" customFormat="1" ht="14.45" customHeight="1" spans="9:9">
      <c r="I524" s="78"/>
    </row>
    <row r="525" s="59" customFormat="1" ht="14.45" customHeight="1" spans="9:9">
      <c r="I525" s="78"/>
    </row>
    <row r="526" s="59" customFormat="1" ht="14.45" customHeight="1" spans="9:9">
      <c r="I526" s="78"/>
    </row>
    <row r="527" s="59" customFormat="1" ht="14.45" customHeight="1" spans="9:9">
      <c r="I527" s="78"/>
    </row>
    <row r="528" s="59" customFormat="1" ht="14.45" customHeight="1" spans="9:9">
      <c r="I528" s="78"/>
    </row>
    <row r="529" s="59" customFormat="1" ht="14.45" customHeight="1" spans="9:9">
      <c r="I529" s="78"/>
    </row>
    <row r="530" s="59" customFormat="1" ht="14.45" customHeight="1" spans="9:9">
      <c r="I530" s="78"/>
    </row>
    <row r="531" s="59" customFormat="1" ht="14.45" customHeight="1" spans="9:9">
      <c r="I531" s="78"/>
    </row>
    <row r="532" s="59" customFormat="1" ht="14.45" customHeight="1" spans="9:9">
      <c r="I532" s="78"/>
    </row>
    <row r="533" s="59" customFormat="1" ht="14.45" customHeight="1" spans="9:9">
      <c r="I533" s="78"/>
    </row>
    <row r="534" s="59" customFormat="1" ht="14.45" customHeight="1" spans="9:9">
      <c r="I534" s="78"/>
    </row>
    <row r="535" s="59" customFormat="1" ht="14.45" customHeight="1" spans="9:9">
      <c r="I535" s="78"/>
    </row>
    <row r="536" s="59" customFormat="1" ht="14.45" customHeight="1" spans="9:9">
      <c r="I536" s="78"/>
    </row>
    <row r="537" s="59" customFormat="1" ht="14.45" customHeight="1" spans="9:9">
      <c r="I537" s="78"/>
    </row>
    <row r="538" s="59" customFormat="1" ht="14.45" customHeight="1" spans="9:9">
      <c r="I538" s="78"/>
    </row>
    <row r="539" s="59" customFormat="1" ht="14.45" customHeight="1" spans="9:9">
      <c r="I539" s="78"/>
    </row>
    <row r="540" s="59" customFormat="1" ht="14.45" customHeight="1" spans="9:9">
      <c r="I540" s="78"/>
    </row>
    <row r="541" s="59" customFormat="1" ht="14.45" customHeight="1" spans="9:9">
      <c r="I541" s="78"/>
    </row>
    <row r="542" s="59" customFormat="1" ht="14.45" customHeight="1" spans="9:9">
      <c r="I542" s="78"/>
    </row>
    <row r="543" s="59" customFormat="1" ht="14.45" customHeight="1" spans="9:9">
      <c r="I543" s="78"/>
    </row>
    <row r="544" s="59" customFormat="1" ht="14.45" customHeight="1" spans="9:9">
      <c r="I544" s="78"/>
    </row>
    <row r="545" s="59" customFormat="1" ht="14.45" customHeight="1" spans="9:9">
      <c r="I545" s="78"/>
    </row>
    <row r="546" s="59" customFormat="1" ht="14.45" customHeight="1" spans="9:9">
      <c r="I546" s="78"/>
    </row>
    <row r="547" s="59" customFormat="1" ht="14.45" customHeight="1" spans="9:9">
      <c r="I547" s="78"/>
    </row>
    <row r="548" s="59" customFormat="1" ht="14.45" customHeight="1" spans="9:9">
      <c r="I548" s="78"/>
    </row>
    <row r="549" s="59" customFormat="1" ht="14.45" customHeight="1" spans="9:9">
      <c r="I549" s="78"/>
    </row>
    <row r="550" s="59" customFormat="1" ht="14.45" customHeight="1" spans="9:9">
      <c r="I550" s="78"/>
    </row>
    <row r="551" s="59" customFormat="1" ht="14.45" customHeight="1" spans="9:9">
      <c r="I551" s="78"/>
    </row>
    <row r="552" s="59" customFormat="1" ht="14.45" customHeight="1" spans="9:9">
      <c r="I552" s="78"/>
    </row>
    <row r="553" s="59" customFormat="1" ht="14.45" customHeight="1" spans="9:9">
      <c r="I553" s="78"/>
    </row>
    <row r="554" s="59" customFormat="1" ht="14.45" customHeight="1" spans="9:9">
      <c r="I554" s="78"/>
    </row>
    <row r="555" s="59" customFormat="1" ht="14.45" customHeight="1" spans="9:9">
      <c r="I555" s="78"/>
    </row>
    <row r="556" s="59" customFormat="1" ht="14.45" customHeight="1" spans="9:9">
      <c r="I556" s="78"/>
    </row>
    <row r="557" s="59" customFormat="1" ht="14.45" customHeight="1" spans="9:9">
      <c r="I557" s="78"/>
    </row>
    <row r="558" s="59" customFormat="1" ht="14.45" customHeight="1" spans="9:9">
      <c r="I558" s="78"/>
    </row>
    <row r="559" s="59" customFormat="1" ht="14.45" customHeight="1" spans="9:9">
      <c r="I559" s="78"/>
    </row>
    <row r="560" s="59" customFormat="1" ht="14.45" customHeight="1" spans="9:9">
      <c r="I560" s="78"/>
    </row>
    <row r="561" s="59" customFormat="1" ht="14.45" customHeight="1" spans="9:9">
      <c r="I561" s="78"/>
    </row>
    <row r="562" s="59" customFormat="1" ht="14.45" customHeight="1" spans="9:9">
      <c r="I562" s="78"/>
    </row>
    <row r="563" s="59" customFormat="1" ht="14.45" customHeight="1" spans="9:9">
      <c r="I563" s="78"/>
    </row>
    <row r="564" s="59" customFormat="1" ht="14.45" customHeight="1" spans="9:9">
      <c r="I564" s="78"/>
    </row>
    <row r="565" s="59" customFormat="1" ht="14.45" customHeight="1" spans="9:9">
      <c r="I565" s="78"/>
    </row>
    <row r="566" s="59" customFormat="1" ht="14.45" customHeight="1" spans="9:9">
      <c r="I566" s="78"/>
    </row>
    <row r="567" s="59" customFormat="1" ht="14.45" customHeight="1" spans="9:9">
      <c r="I567" s="78"/>
    </row>
    <row r="568" s="59" customFormat="1" ht="14.45" customHeight="1" spans="9:9">
      <c r="I568" s="78"/>
    </row>
    <row r="569" s="59" customFormat="1" ht="14.45" customHeight="1" spans="9:9">
      <c r="I569" s="78"/>
    </row>
    <row r="570" s="59" customFormat="1" ht="14.45" customHeight="1" spans="9:9">
      <c r="I570" s="78"/>
    </row>
    <row r="571" s="59" customFormat="1" ht="14.45" customHeight="1" spans="9:9">
      <c r="I571" s="78"/>
    </row>
    <row r="572" s="59" customFormat="1" ht="14.45" customHeight="1" spans="9:9">
      <c r="I572" s="78"/>
    </row>
    <row r="573" s="59" customFormat="1" ht="14.45" customHeight="1" spans="9:9">
      <c r="I573" s="78"/>
    </row>
    <row r="574" s="59" customFormat="1" ht="14.45" customHeight="1" spans="9:9">
      <c r="I574" s="78"/>
    </row>
    <row r="575" s="59" customFormat="1" ht="14.45" customHeight="1" spans="9:9">
      <c r="I575" s="78"/>
    </row>
    <row r="576" s="59" customFormat="1" ht="14.45" customHeight="1" spans="9:9">
      <c r="I576" s="78"/>
    </row>
    <row r="577" s="59" customFormat="1" ht="14.45" customHeight="1" spans="9:9">
      <c r="I577" s="78"/>
    </row>
    <row r="578" s="59" customFormat="1" ht="14.45" customHeight="1" spans="9:9">
      <c r="I578" s="78"/>
    </row>
    <row r="579" s="59" customFormat="1" ht="14.45" customHeight="1" spans="9:9">
      <c r="I579" s="78"/>
    </row>
    <row r="580" s="59" customFormat="1" ht="14.45" customHeight="1" spans="9:9">
      <c r="I580" s="78"/>
    </row>
    <row r="581" s="59" customFormat="1" ht="14.45" customHeight="1" spans="9:9">
      <c r="I581" s="78"/>
    </row>
    <row r="582" s="59" customFormat="1" ht="14.45" customHeight="1" spans="9:9">
      <c r="I582" s="78"/>
    </row>
    <row r="583" s="59" customFormat="1" ht="14.45" customHeight="1" spans="9:9">
      <c r="I583" s="78"/>
    </row>
    <row r="584" s="59" customFormat="1" ht="14.45" customHeight="1" spans="9:9">
      <c r="I584" s="78"/>
    </row>
    <row r="585" s="59" customFormat="1" ht="14.45" customHeight="1" spans="9:9">
      <c r="I585" s="78"/>
    </row>
    <row r="586" s="59" customFormat="1" ht="14.45" customHeight="1" spans="9:9">
      <c r="I586" s="78"/>
    </row>
    <row r="587" s="59" customFormat="1" ht="14.45" customHeight="1" spans="9:9">
      <c r="I587" s="78"/>
    </row>
    <row r="588" s="59" customFormat="1" ht="14.45" customHeight="1" spans="9:9">
      <c r="I588" s="78"/>
    </row>
    <row r="589" s="59" customFormat="1" ht="14.45" customHeight="1" spans="9:9">
      <c r="I589" s="78"/>
    </row>
    <row r="590" s="59" customFormat="1" ht="14.45" customHeight="1" spans="9:9">
      <c r="I590" s="78"/>
    </row>
    <row r="591" s="59" customFormat="1" ht="14.45" customHeight="1" spans="9:9">
      <c r="I591" s="78"/>
    </row>
    <row r="592" s="59" customFormat="1" ht="14.45" customHeight="1" spans="9:9">
      <c r="I592" s="78"/>
    </row>
    <row r="593" s="59" customFormat="1" ht="14.45" customHeight="1" spans="9:9">
      <c r="I593" s="78"/>
    </row>
    <row r="594" s="59" customFormat="1" ht="14.45" customHeight="1" spans="9:9">
      <c r="I594" s="78"/>
    </row>
    <row r="595" s="59" customFormat="1" ht="14.45" customHeight="1" spans="9:9">
      <c r="I595" s="78"/>
    </row>
    <row r="596" s="59" customFormat="1" ht="14.45" customHeight="1" spans="9:9">
      <c r="I596" s="78"/>
    </row>
    <row r="597" s="59" customFormat="1" ht="14.45" customHeight="1" spans="9:9">
      <c r="I597" s="78"/>
    </row>
    <row r="598" s="59" customFormat="1" ht="14.45" customHeight="1" spans="9:9">
      <c r="I598" s="78"/>
    </row>
    <row r="599" s="59" customFormat="1" ht="14.45" customHeight="1" spans="9:9">
      <c r="I599" s="78"/>
    </row>
    <row r="600" s="59" customFormat="1" ht="14.45" customHeight="1" spans="9:9">
      <c r="I600" s="78"/>
    </row>
    <row r="601" s="59" customFormat="1" ht="14.45" customHeight="1" spans="9:9">
      <c r="I601" s="78"/>
    </row>
    <row r="602" s="59" customFormat="1" ht="14.45" customHeight="1" spans="9:9">
      <c r="I602" s="78"/>
    </row>
    <row r="603" s="59" customFormat="1" ht="14.45" customHeight="1" spans="9:9">
      <c r="I603" s="78"/>
    </row>
    <row r="604" s="59" customFormat="1" ht="14.45" customHeight="1" spans="9:9">
      <c r="I604" s="78"/>
    </row>
    <row r="605" s="59" customFormat="1" ht="14.45" customHeight="1" spans="9:9">
      <c r="I605" s="78"/>
    </row>
    <row r="606" s="59" customFormat="1" ht="14.45" customHeight="1" spans="9:9">
      <c r="I606" s="78"/>
    </row>
    <row r="607" s="59" customFormat="1" ht="14.45" customHeight="1" spans="9:9">
      <c r="I607" s="78"/>
    </row>
    <row r="608" s="59" customFormat="1" ht="14.45" customHeight="1" spans="9:9">
      <c r="I608" s="78"/>
    </row>
    <row r="609" s="59" customFormat="1" ht="14.45" customHeight="1" spans="9:9">
      <c r="I609" s="78"/>
    </row>
    <row r="610" s="59" customFormat="1" ht="14.45" customHeight="1" spans="9:9">
      <c r="I610" s="78"/>
    </row>
    <row r="611" s="59" customFormat="1" ht="14.45" customHeight="1" spans="9:9">
      <c r="I611" s="78"/>
    </row>
    <row r="612" s="59" customFormat="1" ht="14.45" customHeight="1" spans="9:9">
      <c r="I612" s="78"/>
    </row>
    <row r="613" s="59" customFormat="1" ht="14.45" customHeight="1" spans="9:9">
      <c r="I613" s="78"/>
    </row>
    <row r="614" s="59" customFormat="1" ht="14.45" customHeight="1" spans="9:9">
      <c r="I614" s="78"/>
    </row>
    <row r="615" s="59" customFormat="1" ht="14.45" customHeight="1" spans="9:9">
      <c r="I615" s="78"/>
    </row>
    <row r="616" s="59" customFormat="1" ht="14.45" customHeight="1" spans="9:9">
      <c r="I616" s="78"/>
    </row>
    <row r="617" s="59" customFormat="1" ht="14.45" customHeight="1" spans="9:9">
      <c r="I617" s="78"/>
    </row>
    <row r="618" s="59" customFormat="1" ht="14.45" customHeight="1" spans="9:9">
      <c r="I618" s="78"/>
    </row>
    <row r="619" s="59" customFormat="1" ht="14.45" customHeight="1" spans="9:9">
      <c r="I619" s="78"/>
    </row>
    <row r="620" s="59" customFormat="1" ht="14.45" customHeight="1" spans="9:9">
      <c r="I620" s="78"/>
    </row>
    <row r="621" s="59" customFormat="1" ht="14.45" customHeight="1" spans="9:9">
      <c r="I621" s="78"/>
    </row>
    <row r="622" s="59" customFormat="1" ht="14.45" customHeight="1" spans="9:9">
      <c r="I622" s="78"/>
    </row>
    <row r="623" s="59" customFormat="1" ht="14.45" customHeight="1" spans="9:9">
      <c r="I623" s="78"/>
    </row>
    <row r="624" s="59" customFormat="1" ht="14.45" customHeight="1" spans="9:9">
      <c r="I624" s="78"/>
    </row>
    <row r="625" s="59" customFormat="1" ht="14.45" customHeight="1" spans="9:9">
      <c r="I625" s="78"/>
    </row>
    <row r="626" s="59" customFormat="1" ht="14.45" customHeight="1" spans="9:9">
      <c r="I626" s="78"/>
    </row>
    <row r="627" s="59" customFormat="1" ht="14.45" customHeight="1" spans="9:9">
      <c r="I627" s="78"/>
    </row>
    <row r="628" s="59" customFormat="1" ht="14.45" customHeight="1" spans="9:9">
      <c r="I628" s="78"/>
    </row>
    <row r="629" s="59" customFormat="1" ht="14.45" customHeight="1" spans="9:9">
      <c r="I629" s="78"/>
    </row>
    <row r="630" s="59" customFormat="1" ht="14.45" customHeight="1" spans="9:9">
      <c r="I630" s="78"/>
    </row>
    <row r="631" s="59" customFormat="1" ht="14.45" customHeight="1" spans="9:9">
      <c r="I631" s="78"/>
    </row>
    <row r="632" s="59" customFormat="1" ht="14.45" customHeight="1" spans="9:9">
      <c r="I632" s="78"/>
    </row>
    <row r="633" s="59" customFormat="1" ht="14.45" customHeight="1" spans="9:9">
      <c r="I633" s="78"/>
    </row>
    <row r="634" s="59" customFormat="1" ht="14.45" customHeight="1" spans="9:9">
      <c r="I634" s="78"/>
    </row>
    <row r="635" s="59" customFormat="1" ht="14.45" customHeight="1" spans="9:9">
      <c r="I635" s="78"/>
    </row>
    <row r="636" s="59" customFormat="1" ht="14.45" customHeight="1" spans="9:9">
      <c r="I636" s="78"/>
    </row>
    <row r="637" s="59" customFormat="1" ht="14.45" customHeight="1" spans="9:9">
      <c r="I637" s="78"/>
    </row>
    <row r="638" s="59" customFormat="1" ht="14.45" customHeight="1" spans="9:9">
      <c r="I638" s="78"/>
    </row>
    <row r="639" s="59" customFormat="1" ht="14.45" customHeight="1" spans="9:9">
      <c r="I639" s="78"/>
    </row>
    <row r="640" s="59" customFormat="1" ht="14.45" customHeight="1" spans="9:9">
      <c r="I640" s="78"/>
    </row>
    <row r="641" s="59" customFormat="1" ht="14.45" customHeight="1" spans="9:9">
      <c r="I641" s="78"/>
    </row>
    <row r="642" s="59" customFormat="1" ht="14.45" customHeight="1" spans="9:9">
      <c r="I642" s="78"/>
    </row>
    <row r="643" s="59" customFormat="1" ht="14.45" customHeight="1" spans="9:9">
      <c r="I643" s="78"/>
    </row>
    <row r="644" s="59" customFormat="1" ht="14.45" customHeight="1" spans="9:9">
      <c r="I644" s="78"/>
    </row>
    <row r="645" s="59" customFormat="1" ht="14.45" customHeight="1" spans="9:9">
      <c r="I645" s="78"/>
    </row>
    <row r="646" s="59" customFormat="1" ht="14.45" customHeight="1" spans="9:9">
      <c r="I646" s="78"/>
    </row>
    <row r="647" s="59" customFormat="1" ht="14.45" customHeight="1" spans="9:9">
      <c r="I647" s="78"/>
    </row>
    <row r="648" s="59" customFormat="1" ht="14.45" customHeight="1" spans="9:9">
      <c r="I648" s="78"/>
    </row>
    <row r="649" s="59" customFormat="1" ht="14.45" customHeight="1" spans="9:9">
      <c r="I649" s="78"/>
    </row>
    <row r="650" s="59" customFormat="1" ht="14.45" customHeight="1" spans="9:9">
      <c r="I650" s="78"/>
    </row>
    <row r="651" s="59" customFormat="1" ht="14.45" customHeight="1" spans="9:9">
      <c r="I651" s="78"/>
    </row>
    <row r="652" s="59" customFormat="1" ht="14.45" customHeight="1" spans="9:9">
      <c r="I652" s="78"/>
    </row>
    <row r="653" s="59" customFormat="1" ht="14.45" customHeight="1" spans="9:9">
      <c r="I653" s="78"/>
    </row>
    <row r="654" s="59" customFormat="1" ht="14.45" customHeight="1" spans="9:9">
      <c r="I654" s="78"/>
    </row>
    <row r="655" s="59" customFormat="1" ht="14.45" customHeight="1" spans="9:9">
      <c r="I655" s="78"/>
    </row>
    <row r="656" s="59" customFormat="1" ht="14.45" customHeight="1" spans="9:9">
      <c r="I656" s="78"/>
    </row>
    <row r="657" s="59" customFormat="1" ht="14.45" customHeight="1" spans="9:9">
      <c r="I657" s="78"/>
    </row>
    <row r="658" s="59" customFormat="1" ht="14.45" customHeight="1" spans="9:9">
      <c r="I658" s="78"/>
    </row>
    <row r="659" s="59" customFormat="1" ht="14.45" customHeight="1" spans="9:9">
      <c r="I659" s="78"/>
    </row>
    <row r="660" s="59" customFormat="1" ht="14.45" customHeight="1" spans="9:9">
      <c r="I660" s="78"/>
    </row>
    <row r="661" s="59" customFormat="1" ht="14.45" customHeight="1" spans="9:9">
      <c r="I661" s="78"/>
    </row>
    <row r="662" s="59" customFormat="1" ht="14.45" customHeight="1" spans="9:9">
      <c r="I662" s="78"/>
    </row>
    <row r="663" s="59" customFormat="1" ht="14.45" customHeight="1" spans="9:9">
      <c r="I663" s="78"/>
    </row>
    <row r="664" s="59" customFormat="1" ht="14.45" customHeight="1" spans="9:9">
      <c r="I664" s="78"/>
    </row>
    <row r="665" s="59" customFormat="1" ht="14.45" customHeight="1" spans="9:9">
      <c r="I665" s="78"/>
    </row>
    <row r="666" s="59" customFormat="1" ht="14.45" customHeight="1" spans="9:9">
      <c r="I666" s="78"/>
    </row>
    <row r="667" s="59" customFormat="1" ht="14.45" customHeight="1" spans="9:9">
      <c r="I667" s="78"/>
    </row>
    <row r="668" s="59" customFormat="1" ht="14.45" customHeight="1" spans="9:9">
      <c r="I668" s="78"/>
    </row>
    <row r="669" s="59" customFormat="1" ht="14.45" customHeight="1" spans="9:9">
      <c r="I669" s="78"/>
    </row>
    <row r="670" s="59" customFormat="1" ht="14.45" customHeight="1" spans="9:9">
      <c r="I670" s="78"/>
    </row>
    <row r="671" s="59" customFormat="1" ht="14.45" customHeight="1" spans="9:9">
      <c r="I671" s="78"/>
    </row>
    <row r="672" s="59" customFormat="1" ht="14.45" customHeight="1" spans="9:9">
      <c r="I672" s="78"/>
    </row>
    <row r="673" s="59" customFormat="1" ht="14.45" customHeight="1" spans="9:9">
      <c r="I673" s="78"/>
    </row>
    <row r="674" s="59" customFormat="1" ht="14.45" customHeight="1" spans="9:9">
      <c r="I674" s="78"/>
    </row>
    <row r="675" s="59" customFormat="1" ht="14.45" customHeight="1" spans="9:9">
      <c r="I675" s="78"/>
    </row>
    <row r="676" s="59" customFormat="1" ht="14.45" customHeight="1" spans="9:9">
      <c r="I676" s="78"/>
    </row>
    <row r="677" s="59" customFormat="1" ht="14.45" customHeight="1" spans="9:9">
      <c r="I677" s="78"/>
    </row>
    <row r="678" s="59" customFormat="1" ht="14.45" customHeight="1" spans="9:9">
      <c r="I678" s="78"/>
    </row>
    <row r="679" s="59" customFormat="1" ht="14.45" customHeight="1" spans="9:9">
      <c r="I679" s="78"/>
    </row>
    <row r="680" s="59" customFormat="1" ht="14.45" customHeight="1" spans="9:9">
      <c r="I680" s="78"/>
    </row>
    <row r="681" s="59" customFormat="1" ht="14.45" customHeight="1" spans="9:9">
      <c r="I681" s="78"/>
    </row>
    <row r="682" s="59" customFormat="1" ht="14.45" customHeight="1" spans="9:9">
      <c r="I682" s="78"/>
    </row>
    <row r="683" s="59" customFormat="1" ht="14.45" customHeight="1" spans="9:9">
      <c r="I683" s="78"/>
    </row>
    <row r="684" s="59" customFormat="1" ht="14.45" customHeight="1" spans="9:9">
      <c r="I684" s="78"/>
    </row>
    <row r="685" s="59" customFormat="1" ht="14.45" customHeight="1" spans="9:9">
      <c r="I685" s="78"/>
    </row>
    <row r="686" s="59" customFormat="1" ht="14.45" customHeight="1" spans="9:9">
      <c r="I686" s="78"/>
    </row>
    <row r="687" s="59" customFormat="1" ht="14.45" customHeight="1" spans="9:9">
      <c r="I687" s="78"/>
    </row>
    <row r="688" s="59" customFormat="1" ht="14.45" customHeight="1" spans="9:9">
      <c r="I688" s="78"/>
    </row>
    <row r="689" s="59" customFormat="1" ht="14.45" customHeight="1" spans="9:9">
      <c r="I689" s="78"/>
    </row>
    <row r="690" s="59" customFormat="1" ht="14.45" customHeight="1" spans="9:9">
      <c r="I690" s="78"/>
    </row>
    <row r="691" s="59" customFormat="1" ht="14.45" customHeight="1" spans="9:9">
      <c r="I691" s="78"/>
    </row>
    <row r="692" s="59" customFormat="1" ht="14.45" customHeight="1" spans="9:9">
      <c r="I692" s="78"/>
    </row>
    <row r="693" s="59" customFormat="1" ht="14.45" customHeight="1" spans="9:9">
      <c r="I693" s="78"/>
    </row>
    <row r="694" s="59" customFormat="1" ht="14.45" customHeight="1" spans="9:9">
      <c r="I694" s="78"/>
    </row>
    <row r="695" s="59" customFormat="1" ht="14.45" customHeight="1" spans="9:9">
      <c r="I695" s="78"/>
    </row>
    <row r="696" s="59" customFormat="1" ht="14.45" customHeight="1" spans="9:9">
      <c r="I696" s="78"/>
    </row>
    <row r="697" s="59" customFormat="1" ht="14.45" customHeight="1" spans="9:9">
      <c r="I697" s="78"/>
    </row>
    <row r="698" s="59" customFormat="1" ht="14.45" customHeight="1" spans="9:9">
      <c r="I698" s="78"/>
    </row>
    <row r="699" s="59" customFormat="1" ht="14.45" customHeight="1" spans="9:9">
      <c r="I699" s="78"/>
    </row>
    <row r="700" s="59" customFormat="1" ht="14.45" customHeight="1" spans="9:9">
      <c r="I700" s="78"/>
    </row>
    <row r="701" s="59" customFormat="1" ht="14.45" customHeight="1" spans="9:9">
      <c r="I701" s="78"/>
    </row>
    <row r="702" s="59" customFormat="1" ht="14.45" customHeight="1" spans="9:9">
      <c r="I702" s="78"/>
    </row>
    <row r="703" s="59" customFormat="1" ht="14.45" customHeight="1" spans="9:9">
      <c r="I703" s="78"/>
    </row>
    <row r="704" s="59" customFormat="1" ht="14.45" customHeight="1" spans="9:9">
      <c r="I704" s="78"/>
    </row>
    <row r="705" s="59" customFormat="1" ht="14.45" customHeight="1" spans="9:9">
      <c r="I705" s="78"/>
    </row>
    <row r="706" s="59" customFormat="1" ht="14.45" customHeight="1" spans="9:9">
      <c r="I706" s="78"/>
    </row>
    <row r="707" s="59" customFormat="1" ht="14.45" customHeight="1" spans="9:9">
      <c r="I707" s="78"/>
    </row>
    <row r="708" s="59" customFormat="1" ht="14.45" customHeight="1" spans="9:9">
      <c r="I708" s="78"/>
    </row>
    <row r="709" s="59" customFormat="1" ht="14.45" customHeight="1" spans="9:9">
      <c r="I709" s="78"/>
    </row>
    <row r="710" s="59" customFormat="1" ht="14.45" customHeight="1" spans="9:9">
      <c r="I710" s="78"/>
    </row>
    <row r="711" s="59" customFormat="1" ht="14.45" customHeight="1" spans="9:9">
      <c r="I711" s="78"/>
    </row>
    <row r="712" s="59" customFormat="1" ht="14.45" customHeight="1" spans="9:9">
      <c r="I712" s="78"/>
    </row>
    <row r="713" s="59" customFormat="1" ht="14.45" customHeight="1" spans="9:9">
      <c r="I713" s="78"/>
    </row>
    <row r="714" s="59" customFormat="1" ht="14.45" customHeight="1" spans="9:9">
      <c r="I714" s="78"/>
    </row>
    <row r="715" s="59" customFormat="1" ht="14.45" customHeight="1" spans="9:9">
      <c r="I715" s="78"/>
    </row>
    <row r="716" s="59" customFormat="1" ht="14.45" customHeight="1" spans="9:9">
      <c r="I716" s="78"/>
    </row>
    <row r="717" s="59" customFormat="1" ht="14.45" customHeight="1" spans="9:9">
      <c r="I717" s="78"/>
    </row>
    <row r="718" s="59" customFormat="1" ht="14.45" customHeight="1" spans="9:9">
      <c r="I718" s="78"/>
    </row>
    <row r="719" s="59" customFormat="1" ht="14.45" customHeight="1" spans="9:9">
      <c r="I719" s="78"/>
    </row>
    <row r="720" s="59" customFormat="1" ht="14.45" customHeight="1" spans="9:9">
      <c r="I720" s="78"/>
    </row>
    <row r="721" s="59" customFormat="1" ht="14.45" customHeight="1" spans="9:9">
      <c r="I721" s="78"/>
    </row>
    <row r="722" s="59" customFormat="1" ht="14.45" customHeight="1" spans="9:9">
      <c r="I722" s="78"/>
    </row>
    <row r="723" s="59" customFormat="1" ht="14.45" customHeight="1" spans="9:9">
      <c r="I723" s="78"/>
    </row>
    <row r="724" s="59" customFormat="1" ht="14.45" customHeight="1" spans="9:9">
      <c r="I724" s="78"/>
    </row>
    <row r="725" s="59" customFormat="1" ht="14.45" customHeight="1" spans="9:9">
      <c r="I725" s="78"/>
    </row>
    <row r="726" s="59" customFormat="1" ht="14.45" customHeight="1" spans="9:9">
      <c r="I726" s="78"/>
    </row>
    <row r="727" s="59" customFormat="1" ht="14.45" customHeight="1" spans="9:9">
      <c r="I727" s="78"/>
    </row>
    <row r="728" s="59" customFormat="1" ht="14.45" customHeight="1" spans="9:9">
      <c r="I728" s="78"/>
    </row>
    <row r="729" s="59" customFormat="1" ht="14.45" customHeight="1" spans="9:9">
      <c r="I729" s="78"/>
    </row>
    <row r="730" s="59" customFormat="1" ht="14.45" customHeight="1" spans="9:9">
      <c r="I730" s="78"/>
    </row>
    <row r="731" s="59" customFormat="1" ht="14.45" customHeight="1" spans="9:9">
      <c r="I731" s="78"/>
    </row>
    <row r="732" s="59" customFormat="1" ht="14.45" customHeight="1" spans="9:9">
      <c r="I732" s="78"/>
    </row>
    <row r="733" s="59" customFormat="1" ht="14.45" customHeight="1" spans="9:9">
      <c r="I733" s="78"/>
    </row>
    <row r="734" s="59" customFormat="1" ht="14.45" customHeight="1" spans="9:9">
      <c r="I734" s="78"/>
    </row>
    <row r="735" s="59" customFormat="1" ht="14.45" customHeight="1" spans="9:9">
      <c r="I735" s="78"/>
    </row>
    <row r="736" s="59" customFormat="1" ht="14.45" customHeight="1" spans="9:9">
      <c r="I736" s="78"/>
    </row>
    <row r="737" s="59" customFormat="1" ht="14.45" customHeight="1" spans="9:9">
      <c r="I737" s="78"/>
    </row>
    <row r="738" s="59" customFormat="1" ht="14.45" customHeight="1" spans="9:9">
      <c r="I738" s="78"/>
    </row>
    <row r="739" s="59" customFormat="1" ht="14.45" customHeight="1" spans="9:9">
      <c r="I739" s="78"/>
    </row>
    <row r="740" s="59" customFormat="1" ht="14.45" customHeight="1" spans="9:9">
      <c r="I740" s="78"/>
    </row>
    <row r="741" s="59" customFormat="1" ht="14.45" customHeight="1" spans="9:9">
      <c r="I741" s="78"/>
    </row>
    <row r="742" s="59" customFormat="1" ht="14.45" customHeight="1" spans="9:9">
      <c r="I742" s="78"/>
    </row>
    <row r="743" s="59" customFormat="1" ht="14.45" customHeight="1" spans="9:9">
      <c r="I743" s="78"/>
    </row>
    <row r="744" s="59" customFormat="1" ht="14.45" customHeight="1" spans="9:9">
      <c r="I744" s="78"/>
    </row>
    <row r="745" s="59" customFormat="1" ht="14.45" customHeight="1" spans="9:9">
      <c r="I745" s="78"/>
    </row>
    <row r="746" s="59" customFormat="1" ht="14.45" customHeight="1" spans="9:9">
      <c r="I746" s="78"/>
    </row>
    <row r="747" s="59" customFormat="1" ht="14.45" customHeight="1" spans="9:9">
      <c r="I747" s="78"/>
    </row>
    <row r="748" s="59" customFormat="1" ht="14.45" customHeight="1" spans="9:9">
      <c r="I748" s="78"/>
    </row>
    <row r="749" s="59" customFormat="1" ht="14.45" customHeight="1" spans="9:9">
      <c r="I749" s="78"/>
    </row>
    <row r="750" s="59" customFormat="1" ht="14.45" customHeight="1" spans="9:9">
      <c r="I750" s="78"/>
    </row>
    <row r="751" s="59" customFormat="1" ht="14.45" customHeight="1" spans="9:9">
      <c r="I751" s="78"/>
    </row>
    <row r="752" s="59" customFormat="1" ht="14.45" customHeight="1" spans="9:9">
      <c r="I752" s="78"/>
    </row>
    <row r="753" s="59" customFormat="1" ht="14.45" customHeight="1" spans="9:9">
      <c r="I753" s="78"/>
    </row>
    <row r="754" s="59" customFormat="1" ht="14.45" customHeight="1" spans="9:9">
      <c r="I754" s="78"/>
    </row>
    <row r="755" s="59" customFormat="1" ht="14.45" customHeight="1" spans="9:9">
      <c r="I755" s="78"/>
    </row>
    <row r="756" s="59" customFormat="1" ht="14.45" customHeight="1" spans="9:9">
      <c r="I756" s="78"/>
    </row>
    <row r="757" s="59" customFormat="1" ht="14.45" customHeight="1" spans="9:9">
      <c r="I757" s="78"/>
    </row>
    <row r="758" s="59" customFormat="1" ht="14.45" customHeight="1" spans="9:9">
      <c r="I758" s="78"/>
    </row>
    <row r="759" s="59" customFormat="1" ht="14.45" customHeight="1" spans="9:9">
      <c r="I759" s="78"/>
    </row>
    <row r="760" s="59" customFormat="1" ht="14.45" customHeight="1" spans="9:9">
      <c r="I760" s="78"/>
    </row>
    <row r="761" s="59" customFormat="1" ht="14.45" customHeight="1" spans="9:9">
      <c r="I761" s="78"/>
    </row>
    <row r="762" s="59" customFormat="1" ht="14.45" customHeight="1" spans="9:9">
      <c r="I762" s="78"/>
    </row>
    <row r="763" s="59" customFormat="1" ht="14.45" customHeight="1" spans="9:9">
      <c r="I763" s="78"/>
    </row>
    <row r="764" s="59" customFormat="1" ht="14.45" customHeight="1" spans="9:9">
      <c r="I764" s="78"/>
    </row>
    <row r="765" s="59" customFormat="1" ht="14.45" customHeight="1" spans="9:9">
      <c r="I765" s="78"/>
    </row>
    <row r="766" s="59" customFormat="1" ht="14.45" customHeight="1" spans="9:9">
      <c r="I766" s="78"/>
    </row>
    <row r="767" s="59" customFormat="1" ht="14.45" customHeight="1" spans="9:9">
      <c r="I767" s="78"/>
    </row>
    <row r="768" s="59" customFormat="1" ht="14.45" customHeight="1" spans="9:9">
      <c r="I768" s="78"/>
    </row>
    <row r="769" s="59" customFormat="1" ht="14.45" customHeight="1" spans="9:9">
      <c r="I769" s="78"/>
    </row>
    <row r="770" s="59" customFormat="1" ht="14.45" customHeight="1" spans="9:9">
      <c r="I770" s="78"/>
    </row>
    <row r="771" s="59" customFormat="1" ht="14.45" customHeight="1" spans="9:9">
      <c r="I771" s="78"/>
    </row>
    <row r="772" s="59" customFormat="1" ht="14.45" customHeight="1" spans="9:9">
      <c r="I772" s="78"/>
    </row>
    <row r="773" s="59" customFormat="1" ht="14.45" customHeight="1" spans="9:9">
      <c r="I773" s="78"/>
    </row>
    <row r="774" s="59" customFormat="1" ht="14.45" customHeight="1" spans="9:9">
      <c r="I774" s="78"/>
    </row>
    <row r="775" s="59" customFormat="1" ht="14.45" customHeight="1" spans="9:9">
      <c r="I775" s="78"/>
    </row>
    <row r="776" s="59" customFormat="1" ht="14.45" customHeight="1" spans="9:9">
      <c r="I776" s="78"/>
    </row>
    <row r="777" s="59" customFormat="1" ht="14.45" customHeight="1" spans="9:9">
      <c r="I777" s="78"/>
    </row>
    <row r="778" s="59" customFormat="1" ht="14.45" customHeight="1" spans="9:9">
      <c r="I778" s="78"/>
    </row>
    <row r="779" s="59" customFormat="1" ht="14.45" customHeight="1" spans="9:9">
      <c r="I779" s="78"/>
    </row>
    <row r="780" s="59" customFormat="1" ht="14.45" customHeight="1" spans="9:9">
      <c r="I780" s="78"/>
    </row>
    <row r="781" s="59" customFormat="1" ht="14.45" customHeight="1" spans="9:9">
      <c r="I781" s="78"/>
    </row>
    <row r="782" s="59" customFormat="1" ht="14.45" customHeight="1" spans="9:9">
      <c r="I782" s="78"/>
    </row>
    <row r="783" s="59" customFormat="1" ht="14.45" customHeight="1" spans="9:9">
      <c r="I783" s="78"/>
    </row>
    <row r="784" s="59" customFormat="1" ht="14.45" customHeight="1" spans="9:9">
      <c r="I784" s="78"/>
    </row>
    <row r="785" s="59" customFormat="1" ht="14.45" customHeight="1" spans="9:9">
      <c r="I785" s="78"/>
    </row>
    <row r="786" s="59" customFormat="1" ht="14.45" customHeight="1" spans="9:9">
      <c r="I786" s="78"/>
    </row>
    <row r="787" s="59" customFormat="1" ht="14.45" customHeight="1" spans="9:9">
      <c r="I787" s="78"/>
    </row>
    <row r="788" s="59" customFormat="1" ht="14.45" customHeight="1" spans="9:9">
      <c r="I788" s="78"/>
    </row>
    <row r="789" s="59" customFormat="1" ht="14.45" customHeight="1" spans="9:9">
      <c r="I789" s="78"/>
    </row>
    <row r="790" s="59" customFormat="1" ht="14.45" customHeight="1" spans="9:9">
      <c r="I790" s="78"/>
    </row>
    <row r="791" s="59" customFormat="1" ht="14.45" customHeight="1" spans="9:9">
      <c r="I791" s="78"/>
    </row>
    <row r="792" s="59" customFormat="1" ht="14.45" customHeight="1" spans="9:9">
      <c r="I792" s="78"/>
    </row>
    <row r="793" s="59" customFormat="1" ht="14.45" customHeight="1" spans="9:9">
      <c r="I793" s="78"/>
    </row>
    <row r="794" s="59" customFormat="1" ht="14.45" customHeight="1" spans="9:9">
      <c r="I794" s="78"/>
    </row>
    <row r="795" s="59" customFormat="1" ht="14.45" customHeight="1" spans="9:9">
      <c r="I795" s="78"/>
    </row>
    <row r="796" s="59" customFormat="1" ht="14.45" customHeight="1" spans="9:9">
      <c r="I796" s="78"/>
    </row>
    <row r="797" s="59" customFormat="1" ht="14.45" customHeight="1" spans="9:9">
      <c r="I797" s="78"/>
    </row>
    <row r="798" s="59" customFormat="1" ht="14.45" customHeight="1" spans="9:9">
      <c r="I798" s="78"/>
    </row>
    <row r="799" s="59" customFormat="1" ht="14.45" customHeight="1" spans="9:9">
      <c r="I799" s="78"/>
    </row>
    <row r="800" s="59" customFormat="1" ht="14.45" customHeight="1" spans="9:9">
      <c r="I800" s="78"/>
    </row>
    <row r="801" s="59" customFormat="1" ht="14.45" customHeight="1" spans="9:9">
      <c r="I801" s="78"/>
    </row>
    <row r="802" s="59" customFormat="1" ht="14.45" customHeight="1" spans="9:9">
      <c r="I802" s="78"/>
    </row>
    <row r="803" s="59" customFormat="1" ht="14.45" customHeight="1" spans="9:9">
      <c r="I803" s="78"/>
    </row>
    <row r="804" s="59" customFormat="1" ht="14.45" customHeight="1" spans="9:9">
      <c r="I804" s="78"/>
    </row>
    <row r="805" s="59" customFormat="1" ht="14.45" customHeight="1" spans="9:9">
      <c r="I805" s="78"/>
    </row>
    <row r="806" s="59" customFormat="1" ht="14.45" customHeight="1" spans="9:9">
      <c r="I806" s="78"/>
    </row>
    <row r="807" s="59" customFormat="1" ht="14.45" customHeight="1" spans="9:9">
      <c r="I807" s="78"/>
    </row>
    <row r="808" s="59" customFormat="1" ht="14.45" customHeight="1" spans="9:9">
      <c r="I808" s="78"/>
    </row>
    <row r="809" s="59" customFormat="1" ht="14.45" customHeight="1" spans="9:9">
      <c r="I809" s="78"/>
    </row>
    <row r="810" s="59" customFormat="1" ht="14.45" customHeight="1" spans="9:9">
      <c r="I810" s="78"/>
    </row>
    <row r="811" s="59" customFormat="1" ht="14.45" customHeight="1" spans="9:9">
      <c r="I811" s="78"/>
    </row>
    <row r="812" s="59" customFormat="1" ht="14.45" customHeight="1" spans="9:9">
      <c r="I812" s="78"/>
    </row>
    <row r="813" s="59" customFormat="1" ht="14.45" customHeight="1" spans="9:9">
      <c r="I813" s="78"/>
    </row>
    <row r="814" s="59" customFormat="1" ht="14.45" customHeight="1" spans="9:9">
      <c r="I814" s="78"/>
    </row>
    <row r="815" s="59" customFormat="1" ht="14.45" customHeight="1" spans="9:9">
      <c r="I815" s="78"/>
    </row>
    <row r="816" s="59" customFormat="1" ht="14.45" customHeight="1" spans="9:9">
      <c r="I816" s="78"/>
    </row>
    <row r="817" s="59" customFormat="1" ht="14.45" customHeight="1" spans="9:9">
      <c r="I817" s="78"/>
    </row>
    <row r="818" s="59" customFormat="1" ht="14.45" customHeight="1" spans="9:9">
      <c r="I818" s="78"/>
    </row>
    <row r="819" s="59" customFormat="1" ht="14.45" customHeight="1" spans="9:9">
      <c r="I819" s="78"/>
    </row>
    <row r="820" s="59" customFormat="1" ht="14.45" customHeight="1" spans="9:9">
      <c r="I820" s="78"/>
    </row>
    <row r="821" s="59" customFormat="1" ht="14.45" customHeight="1" spans="9:9">
      <c r="I821" s="78"/>
    </row>
    <row r="822" s="59" customFormat="1" ht="14.45" customHeight="1" spans="9:9">
      <c r="I822" s="78"/>
    </row>
    <row r="823" s="59" customFormat="1" ht="14.45" customHeight="1" spans="9:9">
      <c r="I823" s="78"/>
    </row>
    <row r="824" s="59" customFormat="1" ht="14.45" customHeight="1" spans="9:9">
      <c r="I824" s="78"/>
    </row>
    <row r="825" s="59" customFormat="1" ht="14.45" customHeight="1" spans="9:9">
      <c r="I825" s="78"/>
    </row>
    <row r="826" s="59" customFormat="1" ht="14.45" customHeight="1" spans="9:9">
      <c r="I826" s="78"/>
    </row>
    <row r="827" s="59" customFormat="1" ht="14.45" customHeight="1" spans="9:9">
      <c r="I827" s="78"/>
    </row>
    <row r="828" s="59" customFormat="1" ht="14.45" customHeight="1" spans="9:9">
      <c r="I828" s="78"/>
    </row>
    <row r="829" s="59" customFormat="1" ht="14.45" customHeight="1" spans="9:9">
      <c r="I829" s="78"/>
    </row>
    <row r="830" s="59" customFormat="1" ht="14.45" customHeight="1" spans="9:9">
      <c r="I830" s="78"/>
    </row>
    <row r="831" s="59" customFormat="1" ht="14.45" customHeight="1" spans="9:9">
      <c r="I831" s="78"/>
    </row>
    <row r="832" s="59" customFormat="1" ht="14.45" customHeight="1" spans="9:9">
      <c r="I832" s="78"/>
    </row>
    <row r="833" s="59" customFormat="1" ht="14.45" customHeight="1" spans="9:9">
      <c r="I833" s="78"/>
    </row>
    <row r="834" s="59" customFormat="1" ht="14.45" customHeight="1" spans="9:9">
      <c r="I834" s="78"/>
    </row>
    <row r="835" s="59" customFormat="1" ht="14.45" customHeight="1" spans="9:9">
      <c r="I835" s="78"/>
    </row>
    <row r="836" s="59" customFormat="1" ht="14.45" customHeight="1" spans="9:9">
      <c r="I836" s="78"/>
    </row>
    <row r="837" s="59" customFormat="1" ht="14.45" customHeight="1" spans="9:9">
      <c r="I837" s="78"/>
    </row>
    <row r="838" s="59" customFormat="1" ht="14.45" customHeight="1" spans="9:9">
      <c r="I838" s="78"/>
    </row>
    <row r="839" s="59" customFormat="1" ht="14.45" customHeight="1" spans="9:9">
      <c r="I839" s="78"/>
    </row>
    <row r="840" s="59" customFormat="1" ht="14.45" customHeight="1" spans="9:9">
      <c r="I840" s="78"/>
    </row>
    <row r="841" s="59" customFormat="1" ht="14.45" customHeight="1" spans="9:9">
      <c r="I841" s="78"/>
    </row>
    <row r="842" s="59" customFormat="1" ht="14.45" customHeight="1" spans="9:9">
      <c r="I842" s="78"/>
    </row>
    <row r="843" s="59" customFormat="1" ht="14.45" customHeight="1" spans="9:9">
      <c r="I843" s="78"/>
    </row>
    <row r="844" s="59" customFormat="1" ht="14.45" customHeight="1" spans="9:9">
      <c r="I844" s="78"/>
    </row>
    <row r="845" s="59" customFormat="1" ht="14.45" customHeight="1" spans="9:9">
      <c r="I845" s="78"/>
    </row>
    <row r="846" s="59" customFormat="1" ht="14.45" customHeight="1" spans="9:9">
      <c r="I846" s="78"/>
    </row>
    <row r="847" s="59" customFormat="1" ht="14.45" customHeight="1" spans="9:9">
      <c r="I847" s="78"/>
    </row>
    <row r="848" s="59" customFormat="1" ht="14.45" customHeight="1" spans="9:9">
      <c r="I848" s="78"/>
    </row>
    <row r="849" s="59" customFormat="1" ht="14.45" customHeight="1" spans="9:9">
      <c r="I849" s="78"/>
    </row>
    <row r="850" s="59" customFormat="1" ht="14.45" customHeight="1" spans="9:9">
      <c r="I850" s="78"/>
    </row>
    <row r="851" s="59" customFormat="1" ht="14.45" customHeight="1" spans="9:9">
      <c r="I851" s="78"/>
    </row>
    <row r="852" s="59" customFormat="1" ht="14.45" customHeight="1" spans="9:9">
      <c r="I852" s="78"/>
    </row>
    <row r="853" s="59" customFormat="1" ht="14.45" customHeight="1" spans="9:9">
      <c r="I853" s="78"/>
    </row>
    <row r="854" s="59" customFormat="1" ht="14.45" customHeight="1" spans="9:9">
      <c r="I854" s="78"/>
    </row>
    <row r="855" s="59" customFormat="1" ht="14.45" customHeight="1" spans="9:9">
      <c r="I855" s="78"/>
    </row>
    <row r="856" s="59" customFormat="1" ht="14.45" customHeight="1" spans="9:9">
      <c r="I856" s="78"/>
    </row>
    <row r="857" s="59" customFormat="1" ht="14.45" customHeight="1" spans="9:9">
      <c r="I857" s="78"/>
    </row>
    <row r="858" s="59" customFormat="1" ht="14.45" customHeight="1" spans="9:9">
      <c r="I858" s="78"/>
    </row>
    <row r="859" s="59" customFormat="1" ht="14.45" customHeight="1" spans="9:9">
      <c r="I859" s="78"/>
    </row>
    <row r="860" s="59" customFormat="1" ht="14.45" customHeight="1" spans="9:9">
      <c r="I860" s="78"/>
    </row>
    <row r="861" s="59" customFormat="1" ht="14.45" customHeight="1" spans="9:9">
      <c r="I861" s="78"/>
    </row>
    <row r="862" s="59" customFormat="1" ht="14.45" customHeight="1" spans="9:9">
      <c r="I862" s="78"/>
    </row>
    <row r="863" s="59" customFormat="1" ht="14.45" customHeight="1" spans="9:9">
      <c r="I863" s="78"/>
    </row>
    <row r="864" s="59" customFormat="1" ht="14.45" customHeight="1" spans="9:9">
      <c r="I864" s="78"/>
    </row>
    <row r="865" s="59" customFormat="1" ht="14.45" customHeight="1" spans="9:9">
      <c r="I865" s="78"/>
    </row>
    <row r="866" s="59" customFormat="1" ht="14.45" customHeight="1" spans="9:9">
      <c r="I866" s="78"/>
    </row>
    <row r="867" s="59" customFormat="1" ht="14.45" customHeight="1" spans="9:9">
      <c r="I867" s="78"/>
    </row>
    <row r="868" s="59" customFormat="1" ht="14.45" customHeight="1" spans="9:9">
      <c r="I868" s="78"/>
    </row>
    <row r="869" s="59" customFormat="1" ht="14.45" customHeight="1" spans="9:9">
      <c r="I869" s="78"/>
    </row>
    <row r="870" s="59" customFormat="1" ht="14.45" customHeight="1" spans="9:9">
      <c r="I870" s="78"/>
    </row>
    <row r="871" s="59" customFormat="1" ht="14.45" customHeight="1" spans="9:9">
      <c r="I871" s="78"/>
    </row>
    <row r="872" s="59" customFormat="1" ht="14.45" customHeight="1" spans="9:9">
      <c r="I872" s="78"/>
    </row>
    <row r="873" s="59" customFormat="1" ht="14.45" customHeight="1" spans="9:9">
      <c r="I873" s="78"/>
    </row>
    <row r="874" s="59" customFormat="1" ht="14.45" customHeight="1" spans="9:9">
      <c r="I874" s="78"/>
    </row>
    <row r="875" s="59" customFormat="1" ht="14.45" customHeight="1" spans="9:9">
      <c r="I875" s="78"/>
    </row>
    <row r="876" s="59" customFormat="1" ht="14.45" customHeight="1" spans="9:9">
      <c r="I876" s="78"/>
    </row>
    <row r="877" s="59" customFormat="1" ht="14.45" customHeight="1" spans="9:9">
      <c r="I877" s="78"/>
    </row>
    <row r="878" s="59" customFormat="1" ht="14.45" customHeight="1" spans="9:9">
      <c r="I878" s="78"/>
    </row>
    <row r="879" s="59" customFormat="1" ht="14.45" customHeight="1" spans="9:9">
      <c r="I879" s="78"/>
    </row>
    <row r="880" s="59" customFormat="1" ht="14.45" customHeight="1" spans="9:9">
      <c r="I880" s="78"/>
    </row>
    <row r="881" s="59" customFormat="1" ht="14.45" customHeight="1" spans="9:9">
      <c r="I881" s="78"/>
    </row>
    <row r="882" s="59" customFormat="1" ht="14.45" customHeight="1" spans="9:9">
      <c r="I882" s="78"/>
    </row>
    <row r="883" s="59" customFormat="1" ht="14.45" customHeight="1" spans="9:9">
      <c r="I883" s="78"/>
    </row>
    <row r="884" s="59" customFormat="1" ht="14.45" customHeight="1" spans="9:9">
      <c r="I884" s="78"/>
    </row>
    <row r="885" s="59" customFormat="1" ht="14.45" customHeight="1" spans="9:9">
      <c r="I885" s="78"/>
    </row>
    <row r="886" s="59" customFormat="1" ht="14.45" customHeight="1" spans="9:9">
      <c r="I886" s="78"/>
    </row>
    <row r="887" s="59" customFormat="1" ht="14.45" customHeight="1" spans="9:9">
      <c r="I887" s="78"/>
    </row>
    <row r="888" s="59" customFormat="1" ht="14.45" customHeight="1" spans="9:9">
      <c r="I888" s="78"/>
    </row>
    <row r="889" s="59" customFormat="1" ht="14.45" customHeight="1" spans="9:9">
      <c r="I889" s="78"/>
    </row>
    <row r="890" s="59" customFormat="1" ht="14.45" customHeight="1" spans="9:9">
      <c r="I890" s="78"/>
    </row>
    <row r="891" s="59" customFormat="1" ht="14.45" customHeight="1" spans="9:9">
      <c r="I891" s="78"/>
    </row>
    <row r="892" s="59" customFormat="1" ht="14.45" customHeight="1" spans="9:9">
      <c r="I892" s="78"/>
    </row>
    <row r="893" s="59" customFormat="1" ht="14.45" customHeight="1" spans="9:9">
      <c r="I893" s="78"/>
    </row>
    <row r="894" s="59" customFormat="1" ht="14.45" customHeight="1" spans="9:9">
      <c r="I894" s="78"/>
    </row>
    <row r="895" s="59" customFormat="1" ht="14.45" customHeight="1" spans="9:9">
      <c r="I895" s="78"/>
    </row>
    <row r="896" s="59" customFormat="1" ht="14.45" customHeight="1" spans="9:9">
      <c r="I896" s="78"/>
    </row>
    <row r="897" s="59" customFormat="1" ht="14.45" customHeight="1" spans="9:9">
      <c r="I897" s="78"/>
    </row>
    <row r="898" s="59" customFormat="1" ht="14.45" customHeight="1" spans="9:9">
      <c r="I898" s="78"/>
    </row>
    <row r="899" s="59" customFormat="1" ht="14.45" customHeight="1" spans="9:9">
      <c r="I899" s="78"/>
    </row>
    <row r="900" s="59" customFormat="1" ht="14.45" customHeight="1" spans="9:9">
      <c r="I900" s="78"/>
    </row>
    <row r="901" s="59" customFormat="1" ht="14.45" customHeight="1" spans="9:9">
      <c r="I901" s="78"/>
    </row>
    <row r="902" s="59" customFormat="1" ht="14.45" customHeight="1" spans="9:9">
      <c r="I902" s="78"/>
    </row>
    <row r="903" s="59" customFormat="1" ht="14.45" customHeight="1" spans="9:9">
      <c r="I903" s="78"/>
    </row>
    <row r="904" s="59" customFormat="1" ht="14.45" customHeight="1" spans="9:9">
      <c r="I904" s="78"/>
    </row>
    <row r="905" s="59" customFormat="1" ht="14.45" customHeight="1" spans="9:9">
      <c r="I905" s="78"/>
    </row>
    <row r="906" s="59" customFormat="1" ht="14.45" customHeight="1" spans="9:9">
      <c r="I906" s="78"/>
    </row>
    <row r="907" s="59" customFormat="1" ht="14.45" customHeight="1" spans="9:9">
      <c r="I907" s="78"/>
    </row>
    <row r="908" s="59" customFormat="1" ht="14.45" customHeight="1" spans="9:9">
      <c r="I908" s="78"/>
    </row>
    <row r="909" s="59" customFormat="1" ht="14.45" customHeight="1" spans="9:9">
      <c r="I909" s="78"/>
    </row>
    <row r="910" s="59" customFormat="1" ht="14.45" customHeight="1" spans="9:9">
      <c r="I910" s="78"/>
    </row>
    <row r="911" s="59" customFormat="1" ht="14.45" customHeight="1" spans="9:9">
      <c r="I911" s="78"/>
    </row>
    <row r="912" s="59" customFormat="1" ht="14.45" customHeight="1" spans="9:9">
      <c r="I912" s="78"/>
    </row>
    <row r="913" s="59" customFormat="1" ht="14.45" customHeight="1" spans="9:9">
      <c r="I913" s="78"/>
    </row>
    <row r="914" s="59" customFormat="1" ht="14.45" customHeight="1" spans="9:9">
      <c r="I914" s="78"/>
    </row>
    <row r="915" s="59" customFormat="1" ht="14.45" customHeight="1" spans="9:9">
      <c r="I915" s="78"/>
    </row>
    <row r="916" s="59" customFormat="1" ht="14.45" customHeight="1" spans="9:9">
      <c r="I916" s="78"/>
    </row>
    <row r="917" s="59" customFormat="1" ht="14.45" customHeight="1" spans="9:9">
      <c r="I917" s="78"/>
    </row>
    <row r="918" s="59" customFormat="1" ht="14.45" customHeight="1" spans="9:9">
      <c r="I918" s="78"/>
    </row>
    <row r="919" s="59" customFormat="1" ht="14.45" customHeight="1" spans="9:9">
      <c r="I919" s="78"/>
    </row>
    <row r="920" s="59" customFormat="1" ht="14.45" customHeight="1" spans="9:9">
      <c r="I920" s="78"/>
    </row>
    <row r="921" s="59" customFormat="1" ht="14.45" customHeight="1" spans="9:9">
      <c r="I921" s="78"/>
    </row>
    <row r="922" s="59" customFormat="1" ht="14.45" customHeight="1" spans="9:9">
      <c r="I922" s="78"/>
    </row>
    <row r="923" s="59" customFormat="1" ht="14.45" customHeight="1" spans="9:9">
      <c r="I923" s="78"/>
    </row>
    <row r="924" s="59" customFormat="1" ht="14.45" customHeight="1" spans="9:9">
      <c r="I924" s="78"/>
    </row>
    <row r="925" s="59" customFormat="1" ht="14.45" customHeight="1" spans="9:9">
      <c r="I925" s="78"/>
    </row>
    <row r="926" s="59" customFormat="1" ht="14.45" customHeight="1" spans="9:9">
      <c r="I926" s="78"/>
    </row>
    <row r="927" s="59" customFormat="1" ht="14.45" customHeight="1" spans="9:9">
      <c r="I927" s="78"/>
    </row>
    <row r="928" s="59" customFormat="1" ht="14.45" customHeight="1" spans="9:9">
      <c r="I928" s="78"/>
    </row>
    <row r="929" s="59" customFormat="1" ht="14.45" customHeight="1" spans="9:9">
      <c r="I929" s="78"/>
    </row>
    <row r="930" s="59" customFormat="1" ht="14.45" customHeight="1" spans="9:9">
      <c r="I930" s="78"/>
    </row>
    <row r="931" s="59" customFormat="1" ht="14.45" customHeight="1" spans="9:9">
      <c r="I931" s="78"/>
    </row>
    <row r="932" s="59" customFormat="1" ht="14.45" customHeight="1" spans="9:9">
      <c r="I932" s="78"/>
    </row>
    <row r="933" s="59" customFormat="1" ht="14.45" customHeight="1" spans="9:9">
      <c r="I933" s="78"/>
    </row>
    <row r="934" s="59" customFormat="1" ht="14.45" customHeight="1" spans="9:9">
      <c r="I934" s="78"/>
    </row>
    <row r="935" s="59" customFormat="1" ht="14.45" customHeight="1" spans="9:9">
      <c r="I935" s="78"/>
    </row>
    <row r="936" s="59" customFormat="1" ht="14.45" customHeight="1" spans="9:9">
      <c r="I936" s="78"/>
    </row>
    <row r="937" s="59" customFormat="1" ht="14.45" customHeight="1" spans="9:9">
      <c r="I937" s="78"/>
    </row>
    <row r="938" s="59" customFormat="1" ht="14.45" customHeight="1" spans="9:9">
      <c r="I938" s="78"/>
    </row>
    <row r="939" s="59" customFormat="1" ht="14.45" customHeight="1" spans="9:9">
      <c r="I939" s="78"/>
    </row>
    <row r="940" s="59" customFormat="1" ht="14.45" customHeight="1" spans="9:9">
      <c r="I940" s="78"/>
    </row>
    <row r="941" s="59" customFormat="1" ht="14.45" customHeight="1" spans="9:9">
      <c r="I941" s="78"/>
    </row>
    <row r="942" s="59" customFormat="1" ht="14.45" customHeight="1" spans="9:9">
      <c r="I942" s="78"/>
    </row>
    <row r="943" s="59" customFormat="1" ht="14.45" customHeight="1" spans="9:9">
      <c r="I943" s="78"/>
    </row>
    <row r="944" s="59" customFormat="1" ht="14.45" customHeight="1" spans="9:9">
      <c r="I944" s="78"/>
    </row>
    <row r="945" s="59" customFormat="1" ht="14.45" customHeight="1" spans="9:9">
      <c r="I945" s="78"/>
    </row>
    <row r="946" s="59" customFormat="1" ht="14.45" customHeight="1" spans="9:9">
      <c r="I946" s="78"/>
    </row>
    <row r="947" s="59" customFormat="1" ht="14.45" customHeight="1" spans="9:9">
      <c r="I947" s="78"/>
    </row>
    <row r="948" s="59" customFormat="1" ht="14.45" customHeight="1" spans="9:9">
      <c r="I948" s="78"/>
    </row>
    <row r="949" s="59" customFormat="1" ht="14.45" customHeight="1" spans="9:9">
      <c r="I949" s="78"/>
    </row>
    <row r="950" s="59" customFormat="1" ht="14.45" customHeight="1" spans="9:9">
      <c r="I950" s="78"/>
    </row>
    <row r="951" s="59" customFormat="1" ht="14.45" customHeight="1" spans="9:9">
      <c r="I951" s="78"/>
    </row>
    <row r="952" s="59" customFormat="1" ht="14.45" customHeight="1" spans="9:9">
      <c r="I952" s="78"/>
    </row>
    <row r="953" s="59" customFormat="1" ht="14.45" customHeight="1" spans="9:9">
      <c r="I953" s="78"/>
    </row>
    <row r="954" s="59" customFormat="1" ht="14.45" customHeight="1" spans="9:9">
      <c r="I954" s="78"/>
    </row>
    <row r="955" s="59" customFormat="1" ht="14.45" customHeight="1" spans="9:9">
      <c r="I955" s="78"/>
    </row>
    <row r="956" s="59" customFormat="1" ht="14.45" customHeight="1" spans="9:9">
      <c r="I956" s="78"/>
    </row>
    <row r="957" s="59" customFormat="1" ht="14.45" customHeight="1" spans="9:9">
      <c r="I957" s="78"/>
    </row>
    <row r="958" s="59" customFormat="1" ht="14.45" customHeight="1" spans="9:9">
      <c r="I958" s="78"/>
    </row>
    <row r="959" s="59" customFormat="1" ht="14.45" customHeight="1" spans="9:9">
      <c r="I959" s="78"/>
    </row>
    <row r="960" s="59" customFormat="1" ht="14.45" customHeight="1" spans="9:9">
      <c r="I960" s="78"/>
    </row>
    <row r="961" s="59" customFormat="1" ht="14.45" customHeight="1" spans="9:9">
      <c r="I961" s="78"/>
    </row>
    <row r="962" s="59" customFormat="1" ht="14.45" customHeight="1" spans="9:9">
      <c r="I962" s="78"/>
    </row>
    <row r="963" s="59" customFormat="1" ht="14.45" customHeight="1" spans="9:9">
      <c r="I963" s="78"/>
    </row>
    <row r="964" s="59" customFormat="1" ht="14.45" customHeight="1" spans="9:9">
      <c r="I964" s="78"/>
    </row>
    <row r="965" s="59" customFormat="1" ht="14.45" customHeight="1" spans="9:9">
      <c r="I965" s="78"/>
    </row>
    <row r="966" s="59" customFormat="1" ht="14.45" customHeight="1" spans="9:9">
      <c r="I966" s="78"/>
    </row>
    <row r="967" s="59" customFormat="1" ht="14.45" customHeight="1" spans="9:9">
      <c r="I967" s="78"/>
    </row>
    <row r="968" s="59" customFormat="1" ht="14.45" customHeight="1" spans="9:9">
      <c r="I968" s="78"/>
    </row>
    <row r="969" s="59" customFormat="1" ht="14.45" customHeight="1" spans="9:9">
      <c r="I969" s="78"/>
    </row>
    <row r="970" s="59" customFormat="1" ht="14.45" customHeight="1" spans="9:9">
      <c r="I970" s="78"/>
    </row>
    <row r="971" s="59" customFormat="1" ht="14.45" customHeight="1" spans="9:9">
      <c r="I971" s="78"/>
    </row>
    <row r="972" s="59" customFormat="1" ht="14.45" customHeight="1" spans="9:9">
      <c r="I972" s="78"/>
    </row>
    <row r="973" s="59" customFormat="1" ht="14.45" customHeight="1" spans="9:9">
      <c r="I973" s="78"/>
    </row>
    <row r="974" s="59" customFormat="1" ht="14.45" customHeight="1" spans="9:9">
      <c r="I974" s="78"/>
    </row>
    <row r="975" s="59" customFormat="1" ht="14.45" customHeight="1" spans="9:9">
      <c r="I975" s="78"/>
    </row>
    <row r="976" s="59" customFormat="1" ht="14.45" customHeight="1" spans="9:9">
      <c r="I976" s="78"/>
    </row>
    <row r="977" s="59" customFormat="1" ht="14.45" customHeight="1" spans="9:9">
      <c r="I977" s="78"/>
    </row>
    <row r="978" s="59" customFormat="1" ht="14.45" customHeight="1" spans="9:9">
      <c r="I978" s="78"/>
    </row>
    <row r="979" s="59" customFormat="1" ht="14.45" customHeight="1" spans="9:9">
      <c r="I979" s="78"/>
    </row>
    <row r="980" s="59" customFormat="1" ht="14.45" customHeight="1" spans="9:9">
      <c r="I980" s="78"/>
    </row>
    <row r="981" s="59" customFormat="1" ht="14.45" customHeight="1" spans="9:9">
      <c r="I981" s="78"/>
    </row>
    <row r="982" s="59" customFormat="1" ht="14.45" customHeight="1" spans="9:9">
      <c r="I982" s="78"/>
    </row>
    <row r="983" s="59" customFormat="1" ht="14.45" customHeight="1" spans="9:9">
      <c r="I983" s="78"/>
    </row>
    <row r="984" s="59" customFormat="1" ht="14.45" customHeight="1" spans="9:9">
      <c r="I984" s="78"/>
    </row>
    <row r="985" s="59" customFormat="1" ht="14.45" customHeight="1" spans="9:9">
      <c r="I985" s="78"/>
    </row>
    <row r="986" s="59" customFormat="1" ht="14.45" customHeight="1" spans="9:9">
      <c r="I986" s="78"/>
    </row>
    <row r="987" s="59" customFormat="1" ht="14.45" customHeight="1" spans="9:9">
      <c r="I987" s="78"/>
    </row>
    <row r="988" s="59" customFormat="1" ht="14.45" customHeight="1" spans="9:9">
      <c r="I988" s="78"/>
    </row>
    <row r="989" s="59" customFormat="1" ht="14.45" customHeight="1" spans="9:9">
      <c r="I989" s="78"/>
    </row>
    <row r="990" s="59" customFormat="1" ht="14.45" customHeight="1" spans="9:9">
      <c r="I990" s="78"/>
    </row>
    <row r="991" s="59" customFormat="1" ht="14.45" customHeight="1" spans="9:9">
      <c r="I991" s="78"/>
    </row>
    <row r="992" s="59" customFormat="1" ht="14.45" customHeight="1" spans="9:9">
      <c r="I992" s="78"/>
    </row>
    <row r="993" s="59" customFormat="1" ht="14.45" customHeight="1" spans="9:9">
      <c r="I993" s="78"/>
    </row>
    <row r="994" s="59" customFormat="1" ht="14.45" customHeight="1" spans="9:9">
      <c r="I994" s="78"/>
    </row>
    <row r="995" s="59" customFormat="1" ht="14.45" customHeight="1" spans="9:9">
      <c r="I995" s="78"/>
    </row>
    <row r="996" s="59" customFormat="1" ht="14.45" customHeight="1" spans="9:9">
      <c r="I996" s="78"/>
    </row>
    <row r="997" s="59" customFormat="1" ht="14.45" customHeight="1" spans="9:9">
      <c r="I997" s="78"/>
    </row>
    <row r="998" s="59" customFormat="1" ht="14.45" customHeight="1" spans="9:9">
      <c r="I998" s="78"/>
    </row>
    <row r="999" s="59" customFormat="1" ht="14.45" customHeight="1" spans="9:9">
      <c r="I999" s="78"/>
    </row>
    <row r="1000" s="59" customFormat="1" ht="14.45" customHeight="1" spans="9:9">
      <c r="I1000" s="78"/>
    </row>
    <row r="1001" s="59" customFormat="1" ht="14.45" customHeight="1" spans="9:9">
      <c r="I1001" s="78"/>
    </row>
    <row r="1002" s="59" customFormat="1" ht="14.45" customHeight="1" spans="9:9">
      <c r="I1002" s="78"/>
    </row>
    <row r="1003" s="59" customFormat="1" ht="14.45" customHeight="1" spans="9:9">
      <c r="I1003" s="78"/>
    </row>
    <row r="1004" s="59" customFormat="1" ht="14.45" customHeight="1" spans="9:9">
      <c r="I1004" s="78"/>
    </row>
    <row r="1005" s="59" customFormat="1" ht="14.45" customHeight="1" spans="9:9">
      <c r="I1005" s="78"/>
    </row>
    <row r="1006" s="59" customFormat="1" ht="14.45" customHeight="1" spans="9:9">
      <c r="I1006" s="78"/>
    </row>
    <row r="1007" s="59" customFormat="1" ht="14.45" customHeight="1" spans="9:9">
      <c r="I1007" s="78"/>
    </row>
    <row r="1008" s="59" customFormat="1" ht="14.45" customHeight="1" spans="9:9">
      <c r="I1008" s="78"/>
    </row>
    <row r="1009" s="59" customFormat="1" ht="14.45" customHeight="1" spans="9:9">
      <c r="I1009" s="78"/>
    </row>
    <row r="1010" s="59" customFormat="1" ht="14.45" customHeight="1" spans="9:9">
      <c r="I1010" s="78"/>
    </row>
    <row r="1011" s="59" customFormat="1" ht="14.45" customHeight="1" spans="9:9">
      <c r="I1011" s="78"/>
    </row>
    <row r="1012" s="59" customFormat="1" ht="14.45" customHeight="1" spans="9:9">
      <c r="I1012" s="78"/>
    </row>
    <row r="1013" s="59" customFormat="1" ht="14.45" customHeight="1" spans="9:9">
      <c r="I1013" s="78"/>
    </row>
    <row r="1014" s="59" customFormat="1" ht="14.45" customHeight="1" spans="9:9">
      <c r="I1014" s="78"/>
    </row>
    <row r="1015" s="59" customFormat="1" ht="14.45" customHeight="1" spans="9:9">
      <c r="I1015" s="78"/>
    </row>
    <row r="1016" s="59" customFormat="1" ht="14.45" customHeight="1" spans="9:9">
      <c r="I1016" s="78"/>
    </row>
    <row r="1017" s="59" customFormat="1" ht="14.45" customHeight="1" spans="9:9">
      <c r="I1017" s="78"/>
    </row>
    <row r="1018" s="59" customFormat="1" ht="14.45" customHeight="1" spans="9:9">
      <c r="I1018" s="78"/>
    </row>
    <row r="1019" s="59" customFormat="1" ht="14.45" customHeight="1" spans="9:9">
      <c r="I1019" s="78"/>
    </row>
    <row r="1020" s="59" customFormat="1" ht="14.45" customHeight="1" spans="9:9">
      <c r="I1020" s="78"/>
    </row>
    <row r="1021" s="59" customFormat="1" ht="14.45" customHeight="1" spans="9:9">
      <c r="I1021" s="78"/>
    </row>
    <row r="1022" s="59" customFormat="1" ht="14.45" customHeight="1" spans="9:9">
      <c r="I1022" s="78"/>
    </row>
    <row r="1023" s="59" customFormat="1" ht="14.45" customHeight="1" spans="9:9">
      <c r="I1023" s="78"/>
    </row>
    <row r="1024" s="59" customFormat="1" ht="14.45" customHeight="1" spans="9:9">
      <c r="I1024" s="78"/>
    </row>
    <row r="1025" s="59" customFormat="1" ht="14.45" customHeight="1" spans="9:9">
      <c r="I1025" s="78"/>
    </row>
    <row r="1026" s="59" customFormat="1" ht="14.45" customHeight="1" spans="9:9">
      <c r="I1026" s="78"/>
    </row>
    <row r="1027" s="59" customFormat="1" ht="14.45" customHeight="1" spans="9:9">
      <c r="I1027" s="78"/>
    </row>
    <row r="1028" s="59" customFormat="1" ht="14.45" customHeight="1" spans="9:9">
      <c r="I1028" s="78"/>
    </row>
    <row r="1029" s="59" customFormat="1" ht="14.45" customHeight="1" spans="9:9">
      <c r="I1029" s="78"/>
    </row>
    <row r="1030" s="59" customFormat="1" ht="14.45" customHeight="1" spans="9:9">
      <c r="I1030" s="78"/>
    </row>
    <row r="1031" s="59" customFormat="1" ht="14.45" customHeight="1" spans="9:9">
      <c r="I1031" s="78"/>
    </row>
    <row r="1032" s="59" customFormat="1" ht="14.45" customHeight="1" spans="9:9">
      <c r="I1032" s="78"/>
    </row>
    <row r="1033" s="59" customFormat="1" ht="14.45" customHeight="1" spans="9:9">
      <c r="I1033" s="78"/>
    </row>
    <row r="1034" s="59" customFormat="1" ht="14.45" customHeight="1" spans="9:9">
      <c r="I1034" s="78"/>
    </row>
    <row r="1035" s="59" customFormat="1" ht="14.45" customHeight="1" spans="9:9">
      <c r="I1035" s="78"/>
    </row>
    <row r="1036" s="59" customFormat="1" ht="14.45" customHeight="1" spans="9:9">
      <c r="I1036" s="78"/>
    </row>
    <row r="1037" s="59" customFormat="1" ht="14.45" customHeight="1" spans="9:9">
      <c r="I1037" s="78"/>
    </row>
    <row r="1038" s="59" customFormat="1" ht="14.45" customHeight="1" spans="9:9">
      <c r="I1038" s="78"/>
    </row>
    <row r="1039" s="59" customFormat="1" ht="14.45" customHeight="1" spans="9:9">
      <c r="I1039" s="78"/>
    </row>
    <row r="1040" s="59" customFormat="1" ht="14.45" customHeight="1" spans="9:9">
      <c r="I1040" s="78"/>
    </row>
    <row r="1041" s="59" customFormat="1" ht="14.45" customHeight="1" spans="9:9">
      <c r="I1041" s="78"/>
    </row>
    <row r="1042" s="59" customFormat="1" ht="14.45" customHeight="1" spans="9:9">
      <c r="I1042" s="78"/>
    </row>
    <row r="1043" s="59" customFormat="1" ht="14.45" customHeight="1" spans="9:9">
      <c r="I1043" s="78"/>
    </row>
    <row r="1044" s="59" customFormat="1" ht="14.45" customHeight="1" spans="9:9">
      <c r="I1044" s="78"/>
    </row>
    <row r="1045" s="59" customFormat="1" ht="14.45" customHeight="1" spans="9:9">
      <c r="I1045" s="78"/>
    </row>
    <row r="1046" s="59" customFormat="1" ht="14.45" customHeight="1" spans="9:9">
      <c r="I1046" s="78"/>
    </row>
    <row r="1047" s="59" customFormat="1" ht="14.45" customHeight="1" spans="9:9">
      <c r="I1047" s="78"/>
    </row>
    <row r="1048" s="59" customFormat="1" ht="14.45" customHeight="1" spans="9:9">
      <c r="I1048" s="78"/>
    </row>
    <row r="1049" s="59" customFormat="1" ht="14.45" customHeight="1" spans="9:9">
      <c r="I1049" s="78"/>
    </row>
    <row r="1050" s="59" customFormat="1" ht="14.45" customHeight="1" spans="9:9">
      <c r="I1050" s="78"/>
    </row>
    <row r="1051" s="59" customFormat="1" ht="14.45" customHeight="1" spans="9:9">
      <c r="I1051" s="78"/>
    </row>
    <row r="1052" s="59" customFormat="1" ht="14.45" customHeight="1" spans="9:9">
      <c r="I1052" s="78"/>
    </row>
    <row r="1053" s="59" customFormat="1" ht="14.45" customHeight="1" spans="9:9">
      <c r="I1053" s="78"/>
    </row>
    <row r="1054" s="59" customFormat="1" ht="14.45" customHeight="1" spans="9:9">
      <c r="I1054" s="78"/>
    </row>
    <row r="1055" s="59" customFormat="1" ht="14.45" customHeight="1" spans="9:9">
      <c r="I1055" s="78"/>
    </row>
    <row r="1056" s="59" customFormat="1" ht="14.45" customHeight="1" spans="9:9">
      <c r="I1056" s="78"/>
    </row>
    <row r="1057" s="59" customFormat="1" ht="14.45" customHeight="1" spans="9:9">
      <c r="I1057" s="78"/>
    </row>
    <row r="1058" s="59" customFormat="1" ht="14.45" customHeight="1" spans="9:9">
      <c r="I1058" s="78"/>
    </row>
    <row r="1059" s="59" customFormat="1" ht="14.45" customHeight="1" spans="9:9">
      <c r="I1059" s="78"/>
    </row>
    <row r="1060" s="59" customFormat="1" ht="14.45" customHeight="1" spans="9:9">
      <c r="I1060" s="78"/>
    </row>
    <row r="1061" s="59" customFormat="1" ht="14.45" customHeight="1" spans="9:9">
      <c r="I1061" s="78"/>
    </row>
    <row r="1062" s="59" customFormat="1" ht="14.45" customHeight="1" spans="9:9">
      <c r="I1062" s="78"/>
    </row>
    <row r="1063" s="59" customFormat="1" ht="14.45" customHeight="1" spans="9:9">
      <c r="I1063" s="78"/>
    </row>
    <row r="1064" s="59" customFormat="1" ht="14.45" customHeight="1" spans="9:9">
      <c r="I1064" s="78"/>
    </row>
    <row r="1065" s="59" customFormat="1" ht="14.45" customHeight="1" spans="9:9">
      <c r="I1065" s="78"/>
    </row>
    <row r="1066" s="59" customFormat="1" ht="14.45" customHeight="1" spans="9:9">
      <c r="I1066" s="78"/>
    </row>
    <row r="1067" s="59" customFormat="1" ht="14.45" customHeight="1" spans="9:9">
      <c r="I1067" s="78"/>
    </row>
    <row r="1068" s="59" customFormat="1" ht="14.45" customHeight="1" spans="9:9">
      <c r="I1068" s="78"/>
    </row>
    <row r="1069" s="59" customFormat="1" ht="14.45" customHeight="1" spans="9:9">
      <c r="I1069" s="78"/>
    </row>
    <row r="1070" s="59" customFormat="1" ht="14.45" customHeight="1" spans="9:9">
      <c r="I1070" s="78"/>
    </row>
    <row r="1071" s="59" customFormat="1" ht="14.45" customHeight="1" spans="9:9">
      <c r="I1071" s="78"/>
    </row>
    <row r="1072" s="59" customFormat="1" ht="14.45" customHeight="1" spans="9:9">
      <c r="I1072" s="78"/>
    </row>
    <row r="1073" s="59" customFormat="1" ht="14.45" customHeight="1" spans="9:9">
      <c r="I1073" s="78"/>
    </row>
    <row r="1074" s="59" customFormat="1" ht="14.45" customHeight="1" spans="9:9">
      <c r="I1074" s="78"/>
    </row>
    <row r="1075" s="59" customFormat="1" ht="14.45" customHeight="1" spans="9:9">
      <c r="I1075" s="78"/>
    </row>
    <row r="1076" s="59" customFormat="1" ht="14.45" customHeight="1" spans="9:9">
      <c r="I1076" s="78"/>
    </row>
    <row r="1077" s="59" customFormat="1" ht="14.45" customHeight="1" spans="9:9">
      <c r="I1077" s="78"/>
    </row>
    <row r="1078" s="59" customFormat="1" ht="14.45" customHeight="1" spans="9:9">
      <c r="I1078" s="78"/>
    </row>
    <row r="1079" s="59" customFormat="1" ht="14.45" customHeight="1" spans="9:9">
      <c r="I1079" s="78"/>
    </row>
    <row r="1080" s="59" customFormat="1" ht="14.45" customHeight="1" spans="9:9">
      <c r="I1080" s="78"/>
    </row>
    <row r="1081" s="59" customFormat="1" ht="14.45" customHeight="1" spans="9:9">
      <c r="I1081" s="78"/>
    </row>
    <row r="1082" s="59" customFormat="1" ht="14.45" customHeight="1" spans="9:9">
      <c r="I1082" s="78"/>
    </row>
    <row r="1083" s="59" customFormat="1" ht="14.45" customHeight="1" spans="9:9">
      <c r="I1083" s="78"/>
    </row>
    <row r="1084" s="59" customFormat="1" ht="14.45" customHeight="1" spans="9:9">
      <c r="I1084" s="78"/>
    </row>
    <row r="1085" s="59" customFormat="1" ht="14.45" customHeight="1" spans="9:9">
      <c r="I1085" s="78"/>
    </row>
    <row r="1086" s="59" customFormat="1" ht="14.45" customHeight="1" spans="9:9">
      <c r="I1086" s="78"/>
    </row>
    <row r="1087" s="59" customFormat="1" ht="14.45" customHeight="1" spans="9:9">
      <c r="I1087" s="78"/>
    </row>
    <row r="1088" s="59" customFormat="1" ht="14.45" customHeight="1" spans="9:9">
      <c r="I1088" s="78"/>
    </row>
    <row r="1089" s="59" customFormat="1" ht="14.45" customHeight="1" spans="9:9">
      <c r="I1089" s="78"/>
    </row>
    <row r="1090" s="59" customFormat="1" ht="14.45" customHeight="1" spans="9:9">
      <c r="I1090" s="78"/>
    </row>
    <row r="1091" s="59" customFormat="1" ht="14.45" customHeight="1" spans="9:9">
      <c r="I1091" s="78"/>
    </row>
    <row r="1092" s="59" customFormat="1" ht="14.45" customHeight="1" spans="9:9">
      <c r="I1092" s="78"/>
    </row>
    <row r="1093" s="59" customFormat="1" ht="14.45" customHeight="1" spans="9:9">
      <c r="I1093" s="78"/>
    </row>
    <row r="1094" s="59" customFormat="1" ht="14.45" customHeight="1" spans="9:9">
      <c r="I1094" s="78"/>
    </row>
    <row r="1095" s="59" customFormat="1" ht="14.45" customHeight="1" spans="9:9">
      <c r="I1095" s="78"/>
    </row>
    <row r="1096" s="59" customFormat="1" ht="14.45" customHeight="1" spans="9:9">
      <c r="I1096" s="78"/>
    </row>
    <row r="1097" s="59" customFormat="1" ht="14.45" customHeight="1" spans="9:9">
      <c r="I1097" s="78"/>
    </row>
    <row r="1098" s="59" customFormat="1" ht="14.45" customHeight="1" spans="9:9">
      <c r="I1098" s="78"/>
    </row>
    <row r="1099" s="59" customFormat="1" ht="14.45" customHeight="1" spans="9:9">
      <c r="I1099" s="78"/>
    </row>
    <row r="1100" s="59" customFormat="1" ht="14.45" customHeight="1" spans="9:9">
      <c r="I1100" s="78"/>
    </row>
    <row r="1101" s="59" customFormat="1" ht="14.45" customHeight="1" spans="9:9">
      <c r="I1101" s="78"/>
    </row>
    <row r="1102" s="59" customFormat="1" ht="14.45" customHeight="1" spans="9:9">
      <c r="I1102" s="78"/>
    </row>
    <row r="1103" s="59" customFormat="1" ht="14.45" customHeight="1" spans="9:9">
      <c r="I1103" s="78"/>
    </row>
    <row r="1104" s="59" customFormat="1" ht="14.45" customHeight="1" spans="9:9">
      <c r="I1104" s="78"/>
    </row>
    <row r="1105" s="59" customFormat="1" ht="14.45" customHeight="1" spans="9:9">
      <c r="I1105" s="78"/>
    </row>
    <row r="1106" s="59" customFormat="1" ht="14.45" customHeight="1" spans="9:9">
      <c r="I1106" s="78"/>
    </row>
    <row r="1107" s="59" customFormat="1" ht="14.45" customHeight="1" spans="9:9">
      <c r="I1107" s="78"/>
    </row>
    <row r="1108" s="59" customFormat="1" ht="14.45" customHeight="1" spans="9:9">
      <c r="I1108" s="78"/>
    </row>
    <row r="1109" s="59" customFormat="1" ht="14.45" customHeight="1" spans="9:9">
      <c r="I1109" s="78"/>
    </row>
    <row r="1110" s="59" customFormat="1" ht="14.45" customHeight="1" spans="9:9">
      <c r="I1110" s="78"/>
    </row>
    <row r="1111" s="59" customFormat="1" ht="14.45" customHeight="1" spans="9:9">
      <c r="I1111" s="78"/>
    </row>
    <row r="1112" s="59" customFormat="1" ht="14.45" customHeight="1" spans="9:9">
      <c r="I1112" s="78"/>
    </row>
    <row r="1113" s="59" customFormat="1" ht="14.45" customHeight="1" spans="9:9">
      <c r="I1113" s="78"/>
    </row>
    <row r="1114" s="59" customFormat="1" ht="14.45" customHeight="1" spans="9:9">
      <c r="I1114" s="78"/>
    </row>
    <row r="1115" s="59" customFormat="1" ht="14.45" customHeight="1" spans="9:9">
      <c r="I1115" s="78"/>
    </row>
    <row r="1116" s="59" customFormat="1" ht="14.45" customHeight="1" spans="9:9">
      <c r="I1116" s="78"/>
    </row>
    <row r="1117" s="59" customFormat="1" ht="14.45" customHeight="1" spans="9:9">
      <c r="I1117" s="78"/>
    </row>
    <row r="1118" s="59" customFormat="1" ht="14.45" customHeight="1" spans="9:9">
      <c r="I1118" s="78"/>
    </row>
    <row r="1119" s="59" customFormat="1" ht="14.45" customHeight="1" spans="9:9">
      <c r="I1119" s="78"/>
    </row>
    <row r="1120" s="59" customFormat="1" ht="14.45" customHeight="1" spans="9:9">
      <c r="I1120" s="78"/>
    </row>
    <row r="1121" s="59" customFormat="1" ht="14.45" customHeight="1" spans="9:9">
      <c r="I1121" s="78"/>
    </row>
    <row r="1122" s="59" customFormat="1" ht="14.45" customHeight="1" spans="9:9">
      <c r="I1122" s="78"/>
    </row>
    <row r="1123" s="59" customFormat="1" ht="14.45" customHeight="1" spans="9:9">
      <c r="I1123" s="78"/>
    </row>
    <row r="1124" s="59" customFormat="1" ht="14.45" customHeight="1" spans="9:9">
      <c r="I1124" s="78"/>
    </row>
    <row r="1125" s="59" customFormat="1" ht="14.45" customHeight="1" spans="9:9">
      <c r="I1125" s="78"/>
    </row>
    <row r="1126" s="59" customFormat="1" ht="14.45" customHeight="1" spans="9:9">
      <c r="I1126" s="78"/>
    </row>
    <row r="1127" s="59" customFormat="1" ht="14.45" customHeight="1" spans="9:9">
      <c r="I1127" s="78"/>
    </row>
    <row r="1128" s="59" customFormat="1" ht="14.45" customHeight="1" spans="9:9">
      <c r="I1128" s="78"/>
    </row>
    <row r="1129" s="59" customFormat="1" ht="14.45" customHeight="1" spans="9:9">
      <c r="I1129" s="78"/>
    </row>
    <row r="1130" s="59" customFormat="1" ht="14.45" customHeight="1" spans="9:9">
      <c r="I1130" s="78"/>
    </row>
    <row r="1131" s="59" customFormat="1" ht="14.45" customHeight="1" spans="9:9">
      <c r="I1131" s="78"/>
    </row>
    <row r="1132" s="59" customFormat="1" ht="14.45" customHeight="1" spans="9:9">
      <c r="I1132" s="78"/>
    </row>
    <row r="1133" s="59" customFormat="1" ht="14.45" customHeight="1" spans="9:9">
      <c r="I1133" s="78"/>
    </row>
    <row r="1134" s="59" customFormat="1" ht="14.45" customHeight="1" spans="9:9">
      <c r="I1134" s="78"/>
    </row>
    <row r="1135" s="59" customFormat="1" ht="14.45" customHeight="1" spans="9:9">
      <c r="I1135" s="78"/>
    </row>
    <row r="1136" s="59" customFormat="1" ht="14.45" customHeight="1" spans="9:9">
      <c r="I1136" s="78"/>
    </row>
    <row r="1137" s="59" customFormat="1" ht="14.45" customHeight="1" spans="9:9">
      <c r="I1137" s="78"/>
    </row>
    <row r="1138" s="59" customFormat="1" ht="14.45" customHeight="1" spans="9:9">
      <c r="I1138" s="78"/>
    </row>
    <row r="1139" s="59" customFormat="1" ht="14.45" customHeight="1" spans="9:9">
      <c r="I1139" s="78"/>
    </row>
    <row r="1140" s="59" customFormat="1" ht="14.45" customHeight="1" spans="9:9">
      <c r="I1140" s="78"/>
    </row>
    <row r="1141" s="59" customFormat="1" ht="14.45" customHeight="1" spans="9:9">
      <c r="I1141" s="78"/>
    </row>
    <row r="1142" s="59" customFormat="1" ht="14.45" customHeight="1" spans="9:9">
      <c r="I1142" s="78"/>
    </row>
    <row r="1143" s="59" customFormat="1" ht="14.45" customHeight="1" spans="9:9">
      <c r="I1143" s="78"/>
    </row>
    <row r="1144" s="59" customFormat="1" ht="14.45" customHeight="1" spans="9:9">
      <c r="I1144" s="78"/>
    </row>
    <row r="1145" s="59" customFormat="1" ht="14.45" customHeight="1" spans="9:9">
      <c r="I1145" s="78"/>
    </row>
    <row r="1146" s="59" customFormat="1" ht="14.45" customHeight="1" spans="9:9">
      <c r="I1146" s="78"/>
    </row>
    <row r="1147" s="59" customFormat="1" ht="14.45" customHeight="1" spans="9:9">
      <c r="I1147" s="78"/>
    </row>
    <row r="1148" s="59" customFormat="1" ht="14.45" customHeight="1" spans="9:9">
      <c r="I1148" s="78"/>
    </row>
    <row r="1149" s="59" customFormat="1" ht="14.45" customHeight="1" spans="9:9">
      <c r="I1149" s="78"/>
    </row>
    <row r="1150" s="59" customFormat="1" ht="14.45" customHeight="1" spans="9:9">
      <c r="I1150" s="78"/>
    </row>
    <row r="1151" s="59" customFormat="1" ht="14.45" customHeight="1" spans="9:9">
      <c r="I1151" s="78"/>
    </row>
    <row r="1152" s="59" customFormat="1" ht="14.45" customHeight="1" spans="9:9">
      <c r="I1152" s="78"/>
    </row>
    <row r="1153" s="59" customFormat="1" ht="14.45" customHeight="1" spans="9:9">
      <c r="I1153" s="78"/>
    </row>
    <row r="1154" s="59" customFormat="1" ht="14.45" customHeight="1" spans="9:9">
      <c r="I1154" s="78"/>
    </row>
    <row r="1155" s="59" customFormat="1" ht="14.45" customHeight="1" spans="9:9">
      <c r="I1155" s="78"/>
    </row>
    <row r="1156" s="59" customFormat="1" ht="14.45" customHeight="1" spans="9:9">
      <c r="I1156" s="78"/>
    </row>
    <row r="1157" s="59" customFormat="1" ht="14.45" customHeight="1" spans="9:9">
      <c r="I1157" s="78"/>
    </row>
    <row r="1158" s="59" customFormat="1" ht="14.45" customHeight="1" spans="9:9">
      <c r="I1158" s="78"/>
    </row>
    <row r="1159" s="59" customFormat="1" ht="14.45" customHeight="1" spans="9:9">
      <c r="I1159" s="78"/>
    </row>
    <row r="1160" s="59" customFormat="1" ht="14.45" customHeight="1" spans="9:9">
      <c r="I1160" s="78"/>
    </row>
    <row r="1161" s="59" customFormat="1" ht="14.45" customHeight="1" spans="9:9">
      <c r="I1161" s="78"/>
    </row>
    <row r="1162" s="59" customFormat="1" ht="14.45" customHeight="1" spans="9:9">
      <c r="I1162" s="78"/>
    </row>
    <row r="1163" s="59" customFormat="1" ht="14.45" customHeight="1" spans="9:9">
      <c r="I1163" s="78"/>
    </row>
    <row r="1164" s="59" customFormat="1" ht="14.45" customHeight="1" spans="9:9">
      <c r="I1164" s="78"/>
    </row>
    <row r="1165" s="59" customFormat="1" ht="14.45" customHeight="1" spans="9:9">
      <c r="I1165" s="78"/>
    </row>
    <row r="1166" s="59" customFormat="1" ht="14.45" customHeight="1" spans="9:9">
      <c r="I1166" s="78"/>
    </row>
    <row r="1167" s="59" customFormat="1" ht="14.45" customHeight="1" spans="9:9">
      <c r="I1167" s="78"/>
    </row>
    <row r="1168" s="59" customFormat="1" ht="14.45" customHeight="1" spans="9:9">
      <c r="I1168" s="78"/>
    </row>
    <row r="1169" s="59" customFormat="1" ht="14.45" customHeight="1" spans="9:9">
      <c r="I1169" s="78"/>
    </row>
    <row r="1170" s="59" customFormat="1" ht="14.45" customHeight="1" spans="9:9">
      <c r="I1170" s="78"/>
    </row>
    <row r="1171" s="59" customFormat="1" ht="14.45" customHeight="1" spans="9:9">
      <c r="I1171" s="78"/>
    </row>
    <row r="1172" s="59" customFormat="1" ht="14.45" customHeight="1" spans="9:9">
      <c r="I1172" s="78"/>
    </row>
    <row r="1173" s="59" customFormat="1" ht="14.45" customHeight="1" spans="9:9">
      <c r="I1173" s="78"/>
    </row>
    <row r="1174" s="59" customFormat="1" ht="14.45" customHeight="1" spans="9:9">
      <c r="I1174" s="78"/>
    </row>
    <row r="1175" s="59" customFormat="1" ht="14.45" customHeight="1" spans="9:9">
      <c r="I1175" s="78"/>
    </row>
    <row r="1176" s="59" customFormat="1" ht="14.45" customHeight="1" spans="9:9">
      <c r="I1176" s="78"/>
    </row>
    <row r="1177" s="59" customFormat="1" ht="14.45" customHeight="1" spans="9:9">
      <c r="I1177" s="78"/>
    </row>
    <row r="1178" s="59" customFormat="1" ht="14.45" customHeight="1" spans="9:9">
      <c r="I1178" s="78"/>
    </row>
    <row r="1179" s="59" customFormat="1" ht="14.45" customHeight="1" spans="9:9">
      <c r="I1179" s="78"/>
    </row>
    <row r="1180" s="59" customFormat="1" ht="14.45" customHeight="1" spans="9:9">
      <c r="I1180" s="78"/>
    </row>
    <row r="1181" s="59" customFormat="1" ht="14.45" customHeight="1" spans="9:9">
      <c r="I1181" s="78"/>
    </row>
    <row r="1182" s="59" customFormat="1" ht="14.45" customHeight="1" spans="9:9">
      <c r="I1182" s="78"/>
    </row>
    <row r="1183" s="59" customFormat="1" ht="14.45" customHeight="1" spans="9:9">
      <c r="I1183" s="78"/>
    </row>
    <row r="1184" s="59" customFormat="1" ht="14.45" customHeight="1" spans="9:9">
      <c r="I1184" s="78"/>
    </row>
    <row r="1185" s="59" customFormat="1" ht="14.45" customHeight="1" spans="9:9">
      <c r="I1185" s="78"/>
    </row>
    <row r="1186" s="59" customFormat="1" ht="14.45" customHeight="1" spans="9:9">
      <c r="I1186" s="78"/>
    </row>
    <row r="1187" s="59" customFormat="1" ht="14.45" customHeight="1" spans="9:9">
      <c r="I1187" s="78"/>
    </row>
    <row r="1188" s="59" customFormat="1" ht="14.45" customHeight="1" spans="9:9">
      <c r="I1188" s="78"/>
    </row>
    <row r="1189" s="59" customFormat="1" ht="14.45" customHeight="1" spans="9:9">
      <c r="I1189" s="78"/>
    </row>
    <row r="1190" s="59" customFormat="1" ht="14.45" customHeight="1" spans="9:9">
      <c r="I1190" s="78"/>
    </row>
    <row r="1191" s="59" customFormat="1" ht="14.45" customHeight="1" spans="9:9">
      <c r="I1191" s="78"/>
    </row>
    <row r="1192" s="59" customFormat="1" ht="14.45" customHeight="1" spans="9:9">
      <c r="I1192" s="78"/>
    </row>
    <row r="1193" s="59" customFormat="1" ht="14.45" customHeight="1" spans="9:9">
      <c r="I1193" s="78"/>
    </row>
    <row r="1194" s="59" customFormat="1" ht="14.45" customHeight="1" spans="9:9">
      <c r="I1194" s="78"/>
    </row>
    <row r="1195" s="59" customFormat="1" ht="14.45" customHeight="1" spans="9:9">
      <c r="I1195" s="78"/>
    </row>
    <row r="1196" s="59" customFormat="1" ht="14.45" customHeight="1" spans="9:9">
      <c r="I1196" s="78"/>
    </row>
    <row r="1197" s="59" customFormat="1" ht="14.45" customHeight="1" spans="9:9">
      <c r="I1197" s="78"/>
    </row>
    <row r="1198" s="59" customFormat="1" ht="14.45" customHeight="1" spans="9:9">
      <c r="I1198" s="78"/>
    </row>
    <row r="1199" s="59" customFormat="1" ht="14.45" customHeight="1" spans="9:9">
      <c r="I1199" s="78"/>
    </row>
    <row r="1200" s="59" customFormat="1" ht="14.45" customHeight="1" spans="9:9">
      <c r="I1200" s="78"/>
    </row>
    <row r="1201" s="59" customFormat="1" ht="14.45" customHeight="1" spans="9:9">
      <c r="I1201" s="78"/>
    </row>
    <row r="1202" s="59" customFormat="1" ht="14.45" customHeight="1" spans="9:9">
      <c r="I1202" s="78"/>
    </row>
    <row r="1203" s="59" customFormat="1" ht="14.45" customHeight="1" spans="9:9">
      <c r="I1203" s="78"/>
    </row>
    <row r="1204" s="59" customFormat="1" ht="14.45" customHeight="1" spans="9:9">
      <c r="I1204" s="78"/>
    </row>
    <row r="1205" s="59" customFormat="1" ht="14.45" customHeight="1" spans="9:9">
      <c r="I1205" s="78"/>
    </row>
    <row r="1206" s="59" customFormat="1" ht="14.45" customHeight="1" spans="9:9">
      <c r="I1206" s="78"/>
    </row>
    <row r="1207" s="59" customFormat="1" ht="14.45" customHeight="1" spans="9:9">
      <c r="I1207" s="78"/>
    </row>
    <row r="1208" s="59" customFormat="1" ht="14.45" customHeight="1" spans="9:9">
      <c r="I1208" s="78"/>
    </row>
    <row r="1209" s="59" customFormat="1" ht="14.45" customHeight="1" spans="9:9">
      <c r="I1209" s="78"/>
    </row>
    <row r="1210" s="59" customFormat="1" ht="14.45" customHeight="1" spans="9:9">
      <c r="I1210" s="78"/>
    </row>
    <row r="1211" s="59" customFormat="1" ht="14.45" customHeight="1" spans="9:9">
      <c r="I1211" s="78"/>
    </row>
    <row r="1212" s="59" customFormat="1" ht="14.45" customHeight="1" spans="9:9">
      <c r="I1212" s="78"/>
    </row>
    <row r="1213" s="59" customFormat="1" ht="14.45" customHeight="1" spans="9:9">
      <c r="I1213" s="78"/>
    </row>
    <row r="1214" s="59" customFormat="1" ht="14.45" customHeight="1" spans="9:9">
      <c r="I1214" s="78"/>
    </row>
    <row r="1215" s="59" customFormat="1" ht="14.45" customHeight="1" spans="9:9">
      <c r="I1215" s="78"/>
    </row>
    <row r="1216" s="59" customFormat="1" ht="14.45" customHeight="1" spans="9:9">
      <c r="I1216" s="78"/>
    </row>
    <row r="1217" s="59" customFormat="1" ht="14.45" customHeight="1" spans="9:9">
      <c r="I1217" s="78"/>
    </row>
    <row r="1218" s="59" customFormat="1" ht="14.45" customHeight="1" spans="9:9">
      <c r="I1218" s="78"/>
    </row>
    <row r="1219" s="59" customFormat="1" ht="14.45" customHeight="1" spans="9:9">
      <c r="I1219" s="78"/>
    </row>
    <row r="1220" s="59" customFormat="1" ht="14.45" customHeight="1" spans="9:9">
      <c r="I1220" s="78"/>
    </row>
    <row r="1221" s="59" customFormat="1" ht="14.45" customHeight="1" spans="9:9">
      <c r="I1221" s="78"/>
    </row>
    <row r="1222" s="59" customFormat="1" ht="14.45" customHeight="1" spans="9:9">
      <c r="I1222" s="78"/>
    </row>
    <row r="1223" s="59" customFormat="1" ht="14.45" customHeight="1" spans="9:9">
      <c r="I1223" s="78"/>
    </row>
    <row r="1224" s="59" customFormat="1" ht="14.45" customHeight="1" spans="9:9">
      <c r="I1224" s="78"/>
    </row>
    <row r="1225" s="59" customFormat="1" ht="14.45" customHeight="1" spans="9:9">
      <c r="I1225" s="78"/>
    </row>
    <row r="1226" s="59" customFormat="1" ht="14.45" customHeight="1" spans="9:9">
      <c r="I1226" s="78"/>
    </row>
    <row r="1227" s="59" customFormat="1" ht="14.45" customHeight="1" spans="9:9">
      <c r="I1227" s="78"/>
    </row>
    <row r="1228" s="59" customFormat="1" ht="14.45" customHeight="1" spans="9:9">
      <c r="I1228" s="78"/>
    </row>
    <row r="1229" s="59" customFormat="1" ht="14.45" customHeight="1" spans="9:9">
      <c r="I1229" s="78"/>
    </row>
    <row r="1230" s="59" customFormat="1" ht="14.45" customHeight="1" spans="9:9">
      <c r="I1230" s="78"/>
    </row>
    <row r="1231" s="59" customFormat="1" ht="14.45" customHeight="1" spans="9:9">
      <c r="I1231" s="78"/>
    </row>
    <row r="1232" s="59" customFormat="1" ht="14.45" customHeight="1" spans="9:9">
      <c r="I1232" s="78"/>
    </row>
    <row r="1233" s="59" customFormat="1" ht="14.45" customHeight="1" spans="9:9">
      <c r="I1233" s="78"/>
    </row>
    <row r="1234" s="59" customFormat="1" ht="14.45" customHeight="1" spans="9:9">
      <c r="I1234" s="78"/>
    </row>
    <row r="1235" s="59" customFormat="1" ht="14.45" customHeight="1" spans="9:9">
      <c r="I1235" s="78"/>
    </row>
    <row r="1236" s="59" customFormat="1" ht="14.45" customHeight="1" spans="9:9">
      <c r="I1236" s="78"/>
    </row>
    <row r="1237" s="59" customFormat="1" ht="14.45" customHeight="1" spans="9:9">
      <c r="I1237" s="78"/>
    </row>
    <row r="1238" s="59" customFormat="1" ht="14.45" customHeight="1" spans="9:9">
      <c r="I1238" s="78"/>
    </row>
    <row r="1239" s="59" customFormat="1" ht="14.45" customHeight="1" spans="9:9">
      <c r="I1239" s="78"/>
    </row>
    <row r="1240" s="59" customFormat="1" ht="14.45" customHeight="1" spans="9:9">
      <c r="I1240" s="78"/>
    </row>
    <row r="1241" s="59" customFormat="1" ht="14.45" customHeight="1" spans="9:9">
      <c r="I1241" s="78"/>
    </row>
    <row r="1242" s="59" customFormat="1" ht="14.45" customHeight="1" spans="9:9">
      <c r="I1242" s="78"/>
    </row>
    <row r="1243" s="59" customFormat="1" ht="14.45" customHeight="1" spans="9:9">
      <c r="I1243" s="78"/>
    </row>
    <row r="1244" s="59" customFormat="1" ht="14.45" customHeight="1" spans="9:9">
      <c r="I1244" s="78"/>
    </row>
    <row r="1245" s="59" customFormat="1" ht="14.45" customHeight="1" spans="9:9">
      <c r="I1245" s="78"/>
    </row>
    <row r="1246" s="59" customFormat="1" ht="14.45" customHeight="1" spans="9:9">
      <c r="I1246" s="78"/>
    </row>
    <row r="1247" s="59" customFormat="1" ht="14.45" customHeight="1" spans="9:9">
      <c r="I1247" s="78"/>
    </row>
    <row r="1248" s="59" customFormat="1" ht="14.45" customHeight="1" spans="9:9">
      <c r="I1248" s="78"/>
    </row>
    <row r="1249" s="59" customFormat="1" ht="14.45" customHeight="1" spans="9:9">
      <c r="I1249" s="78"/>
    </row>
    <row r="1250" s="59" customFormat="1" ht="14.45" customHeight="1" spans="9:9">
      <c r="I1250" s="78"/>
    </row>
    <row r="1251" s="59" customFormat="1" ht="14.45" customHeight="1" spans="9:9">
      <c r="I1251" s="78"/>
    </row>
    <row r="1252" s="59" customFormat="1" ht="14.45" customHeight="1" spans="9:9">
      <c r="I1252" s="78"/>
    </row>
    <row r="1253" s="59" customFormat="1" ht="14.45" customHeight="1" spans="9:9">
      <c r="I1253" s="78"/>
    </row>
    <row r="1254" s="59" customFormat="1" ht="14.45" customHeight="1" spans="9:9">
      <c r="I1254" s="78"/>
    </row>
    <row r="1255" s="59" customFormat="1" ht="14.45" customHeight="1" spans="9:9">
      <c r="I1255" s="78"/>
    </row>
    <row r="1256" s="59" customFormat="1" ht="14.45" customHeight="1" spans="9:9">
      <c r="I1256" s="78"/>
    </row>
    <row r="1257" s="59" customFormat="1" ht="14.45" customHeight="1" spans="9:9">
      <c r="I1257" s="78"/>
    </row>
    <row r="1258" s="59" customFormat="1" ht="14.45" customHeight="1" spans="9:9">
      <c r="I1258" s="78"/>
    </row>
    <row r="1259" s="59" customFormat="1" ht="14.45" customHeight="1" spans="9:9">
      <c r="I1259" s="78"/>
    </row>
    <row r="1260" s="59" customFormat="1" ht="14.45" customHeight="1" spans="9:9">
      <c r="I1260" s="78"/>
    </row>
    <row r="1261" s="59" customFormat="1" ht="14.45" customHeight="1" spans="9:9">
      <c r="I1261" s="78"/>
    </row>
    <row r="1262" s="59" customFormat="1" ht="14.45" customHeight="1" spans="9:9">
      <c r="I1262" s="78"/>
    </row>
    <row r="1263" s="59" customFormat="1" ht="14.45" customHeight="1" spans="9:9">
      <c r="I1263" s="78"/>
    </row>
    <row r="1264" s="59" customFormat="1" ht="14.45" customHeight="1" spans="9:9">
      <c r="I1264" s="78"/>
    </row>
    <row r="1265" s="59" customFormat="1" ht="14.45" customHeight="1" spans="9:9">
      <c r="I1265" s="78"/>
    </row>
    <row r="1266" s="59" customFormat="1" ht="14.45" customHeight="1" spans="9:9">
      <c r="I1266" s="78"/>
    </row>
    <row r="1267" s="59" customFormat="1" ht="14.45" customHeight="1" spans="9:9">
      <c r="I1267" s="78"/>
    </row>
    <row r="1268" s="59" customFormat="1" ht="14.45" customHeight="1" spans="9:9">
      <c r="I1268" s="78"/>
    </row>
    <row r="1269" s="59" customFormat="1" ht="14.45" customHeight="1" spans="9:9">
      <c r="I1269" s="78"/>
    </row>
    <row r="1270" s="59" customFormat="1" ht="14.45" customHeight="1" spans="9:9">
      <c r="I1270" s="78"/>
    </row>
    <row r="1271" s="59" customFormat="1" ht="14.45" customHeight="1" spans="9:9">
      <c r="I1271" s="78"/>
    </row>
    <row r="1272" s="59" customFormat="1" ht="14.45" customHeight="1" spans="9:9">
      <c r="I1272" s="78"/>
    </row>
    <row r="1273" s="59" customFormat="1" ht="14.45" customHeight="1" spans="9:9">
      <c r="I1273" s="78"/>
    </row>
    <row r="1274" s="59" customFormat="1" ht="14.45" customHeight="1" spans="9:9">
      <c r="I1274" s="78"/>
    </row>
    <row r="1275" s="59" customFormat="1" ht="14.45" customHeight="1" spans="9:9">
      <c r="I1275" s="78"/>
    </row>
    <row r="1276" s="59" customFormat="1" ht="14.45" customHeight="1" spans="9:9">
      <c r="I1276" s="78"/>
    </row>
    <row r="1277" s="59" customFormat="1" ht="14.45" customHeight="1" spans="9:9">
      <c r="I1277" s="78"/>
    </row>
    <row r="1278" s="59" customFormat="1" ht="14.45" customHeight="1" spans="9:9">
      <c r="I1278" s="78"/>
    </row>
    <row r="1279" s="59" customFormat="1" ht="14.45" customHeight="1" spans="9:9">
      <c r="I1279" s="78"/>
    </row>
    <row r="1280" s="59" customFormat="1" ht="14.45" customHeight="1" spans="9:9">
      <c r="I1280" s="78"/>
    </row>
    <row r="1281" ht="14.45" customHeight="1" spans="4:9">
      <c r="D1281" s="59"/>
      <c r="I1281" s="78"/>
    </row>
    <row r="1282" ht="14.45" customHeight="1" spans="4:9">
      <c r="D1282" s="59"/>
      <c r="I1282" s="78"/>
    </row>
    <row r="1283" ht="14.45" customHeight="1" spans="4:9">
      <c r="D1283" s="59"/>
      <c r="I1283" s="78"/>
    </row>
    <row r="1284" ht="14.45" customHeight="1" spans="4:9">
      <c r="D1284" s="59"/>
      <c r="I1284" s="78"/>
    </row>
    <row r="1285" ht="14.45" customHeight="1" spans="4:9">
      <c r="D1285" s="59"/>
      <c r="I1285" s="78"/>
    </row>
    <row r="1286" ht="14.45" customHeight="1" spans="4:9">
      <c r="D1286" s="59"/>
      <c r="I1286" s="78"/>
    </row>
    <row r="1287" ht="14.45" customHeight="1" spans="4:9">
      <c r="D1287" s="59"/>
      <c r="I1287" s="78"/>
    </row>
    <row r="1288" ht="14.45" customHeight="1" spans="4:9">
      <c r="D1288" s="59"/>
      <c r="I1288" s="78"/>
    </row>
    <row r="1289" ht="14.45" customHeight="1" spans="4:9">
      <c r="D1289" s="59"/>
      <c r="I1289" s="78"/>
    </row>
    <row r="1290" ht="14.45" customHeight="1" spans="4:9">
      <c r="D1290" s="59"/>
      <c r="I1290" s="78"/>
    </row>
    <row r="1291" ht="14.45" customHeight="1" spans="4:9">
      <c r="D1291" s="59"/>
      <c r="I1291" s="78"/>
    </row>
    <row r="1292" ht="14.45" customHeight="1" spans="4:9">
      <c r="D1292" s="59"/>
      <c r="I1292" s="78"/>
    </row>
    <row r="1293" ht="14.45" customHeight="1" spans="4:9">
      <c r="D1293" s="59"/>
      <c r="I1293" s="78"/>
    </row>
    <row r="1294" ht="14.45" customHeight="1" spans="4:9">
      <c r="D1294" s="59"/>
      <c r="I1294" s="78"/>
    </row>
    <row r="1295" ht="14.45" customHeight="1"/>
    <row r="1296" ht="14.45" customHeight="1"/>
    <row r="1297" ht="14.45" customHeight="1"/>
    <row r="1298" ht="14.45" customHeight="1"/>
    <row r="1299" ht="14.45" customHeight="1"/>
    <row r="1300" ht="14.45" customHeight="1"/>
    <row r="1301" ht="14.45" customHeight="1"/>
    <row r="1302" ht="14.45" customHeight="1"/>
    <row r="1303" ht="14.45" customHeight="1"/>
    <row r="1304" ht="14.45" customHeight="1"/>
    <row r="1305" ht="14.45" customHeight="1"/>
    <row r="1306" ht="14.45" customHeight="1"/>
    <row r="1307" ht="14.45" customHeight="1"/>
    <row r="1308" ht="14.45" customHeight="1"/>
    <row r="1309" ht="14.45" customHeight="1"/>
    <row r="1310" ht="14.45" customHeight="1"/>
    <row r="1311" ht="14.45" customHeight="1"/>
    <row r="1312" ht="14.45" customHeight="1"/>
    <row r="1313" ht="14.45" customHeight="1"/>
    <row r="1314" ht="14.45" customHeight="1"/>
    <row r="1315" ht="14.45" customHeight="1"/>
    <row r="1316" ht="14.45" customHeight="1"/>
    <row r="1317" ht="14.45" customHeight="1"/>
    <row r="1318" ht="14.45" customHeight="1"/>
    <row r="1319" ht="14.45" customHeight="1"/>
    <row r="1320" ht="14.45" customHeight="1"/>
    <row r="1321" ht="14.45" customHeight="1"/>
    <row r="1322" ht="14.45" customHeight="1"/>
    <row r="1323" ht="14.45" customHeight="1"/>
    <row r="1324" ht="14.45" customHeight="1"/>
    <row r="1325" ht="14.45" customHeight="1"/>
  </sheetData>
  <conditionalFormatting sqref="A1">
    <cfRule type="containsText" dxfId="0" priority="5" operator="between" text=" ">
      <formula>NOT(ISERROR(SEARCH(" ",A1)))</formula>
    </cfRule>
    <cfRule type="containsText" dxfId="0" priority="4" operator="between" text=" ">
      <formula>NOT(ISERROR(SEARCH(" ",A1)))</formula>
    </cfRule>
    <cfRule type="containsText" dxfId="0" priority="6" operator="between" text=" ">
      <formula>NOT(ISERROR(SEARCH(" ",A1)))</formula>
    </cfRule>
  </conditionalFormatting>
  <conditionalFormatting sqref="Q3:R3">
    <cfRule type="containsText" dxfId="0" priority="16" operator="between" text=" ">
      <formula>NOT(ISERROR(SEARCH(" ",Q3)))</formula>
    </cfRule>
  </conditionalFormatting>
  <conditionalFormatting sqref="A4:B4">
    <cfRule type="containsText" dxfId="0" priority="1" operator="between" text=" ">
      <formula>NOT(ISERROR(SEARCH(" ",A4)))</formula>
    </cfRule>
  </conditionalFormatting>
  <conditionalFormatting sqref="Q4:S6 Q3:R3 B1:C1 Q1:Q6">
    <cfRule type="containsText" dxfId="0" priority="23" operator="between" text=" ">
      <formula>NOT(ISERROR(SEARCH(" ",B1)))</formula>
    </cfRule>
  </conditionalFormatting>
  <conditionalFormatting sqref="D1 Q1:R6">
    <cfRule type="containsText" dxfId="0" priority="21" operator="between" text=" ">
      <formula>NOT(ISERROR(SEARCH(" ",D1)))</formula>
    </cfRule>
  </conditionalFormatting>
  <conditionalFormatting sqref="A5:C7 A4:B4 A2:A7">
    <cfRule type="containsText" dxfId="0" priority="3" operator="between" text=" ">
      <formula>NOT(ISERROR(SEARCH(" ",A2)))</formula>
    </cfRule>
  </conditionalFormatting>
  <conditionalFormatting sqref="A2:B7">
    <cfRule type="containsText" dxfId="0" priority="2" operator="between" text=" ">
      <formula>NOT(ISERROR(SEARCH(" ",A2)))</formula>
    </cfRule>
  </conditionalFormatting>
  <dataValidations count="4">
    <dataValidation type="list" allowBlank="1" showInputMessage="1" showErrorMessage="1" sqref="A1 A2:A7 Q1:Q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B2:B7 R1:R6">
      <formula1>"等于,包含,IN,大于等,小于等,非空,是空"</formula1>
    </dataValidation>
    <dataValidation type="list" allowBlank="1" showInputMessage="1" showErrorMessage="1" sqref="J2:J3">
      <formula1>"是,否"</formula1>
    </dataValidation>
  </dataValidations>
  <hyperlinks>
    <hyperlink ref="J4" r:id="rId7" display="http://aa.r34.cc"/>
  </hyperlink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name="Button 3" r:id="rId4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1009650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name="Button 6" r:id="rId5">
              <controlPr print="0" defaultSize="0">
                <anchor moveWithCells="1">
                  <from>
                    <xdr:col>6</xdr:col>
                    <xdr:colOff>285750</xdr:colOff>
                    <xdr:row>0</xdr:row>
                    <xdr:rowOff>0</xdr:rowOff>
                  </from>
                  <to>
                    <xdr:col>7</xdr:col>
                    <xdr:colOff>266700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name="Button 17" r:id="rId6">
              <controlPr print="0" defaultSize="0">
                <anchor moveWithCells="1" sizeWithCells="1">
                  <from>
                    <xdr:col>10</xdr:col>
                    <xdr:colOff>104775</xdr:colOff>
                    <xdr:row>0</xdr:row>
                    <xdr:rowOff>0</xdr:rowOff>
                  </from>
                  <to>
                    <xdr:col>12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X1223"/>
  <sheetViews>
    <sheetView workbookViewId="0">
      <selection activeCell="A9" sqref="$A9:$XFD18"/>
    </sheetView>
  </sheetViews>
  <sheetFormatPr defaultColWidth="9" defaultRowHeight="13.5"/>
  <cols>
    <col min="1" max="1" width="30.5" style="59" customWidth="1"/>
    <col min="2" max="2" width="12.125" style="59" customWidth="1"/>
    <col min="3" max="3" width="14" style="59" customWidth="1"/>
    <col min="4" max="4" width="12.625" style="58" customWidth="1"/>
    <col min="5" max="5" width="13" style="59" customWidth="1"/>
    <col min="6" max="6" width="14.25" style="59" customWidth="1"/>
    <col min="7" max="7" width="20.75" style="59" customWidth="1"/>
    <col min="8" max="8" width="15.375" style="59" customWidth="1"/>
    <col min="9" max="10" width="3.5" style="59" customWidth="1"/>
    <col min="11" max="11" width="2.5" style="59" customWidth="1"/>
    <col min="12" max="12" width="9.75" style="59" customWidth="1"/>
    <col min="13" max="13" width="14.125" style="59" customWidth="1"/>
    <col min="14" max="14" width="6.5" style="59" customWidth="1"/>
    <col min="15" max="15" width="6.625" style="59" customWidth="1"/>
    <col min="16" max="16" width="11.75" style="59" customWidth="1"/>
    <col min="17" max="17" width="7.5" style="59" customWidth="1"/>
    <col min="18" max="18" width="8" style="59" customWidth="1"/>
    <col min="19" max="19" width="7.75" style="59" customWidth="1"/>
    <col min="20" max="20" width="6.375" style="59" customWidth="1"/>
    <col min="21" max="21" width="9" style="59"/>
    <col min="22" max="28" width="8.125" style="59" customWidth="1"/>
    <col min="29" max="16384" width="9" style="59"/>
  </cols>
  <sheetData>
    <row r="1" ht="14.45" customHeight="1" spans="1:17">
      <c r="A1" s="60" t="s">
        <v>0</v>
      </c>
      <c r="B1" s="61" t="s">
        <v>1</v>
      </c>
      <c r="C1" s="62" t="s">
        <v>95</v>
      </c>
      <c r="D1" s="63"/>
      <c r="E1" s="64" t="s">
        <v>3</v>
      </c>
      <c r="F1" s="62" t="s">
        <v>4</v>
      </c>
      <c r="I1" s="60"/>
      <c r="J1" s="60"/>
      <c r="K1" s="60"/>
      <c r="P1" s="60"/>
      <c r="Q1" s="60"/>
    </row>
    <row r="2" ht="14.45" customHeight="1" spans="4:17">
      <c r="D2" s="55"/>
      <c r="E2" s="64" t="s">
        <v>7</v>
      </c>
      <c r="F2" s="62" t="s">
        <v>8</v>
      </c>
      <c r="G2" s="61"/>
      <c r="H2" s="60"/>
      <c r="I2" s="60"/>
      <c r="J2" s="60"/>
      <c r="K2" s="60"/>
      <c r="N2" s="60"/>
      <c r="O2" s="60"/>
      <c r="P2" s="60"/>
      <c r="Q2" s="60"/>
    </row>
    <row r="3" ht="14.45" customHeight="1" spans="3:17">
      <c r="C3" s="65"/>
      <c r="D3" s="66"/>
      <c r="G3" s="60"/>
      <c r="H3" s="60"/>
      <c r="I3" s="64" t="s">
        <v>13</v>
      </c>
      <c r="J3" s="61" t="s">
        <v>10</v>
      </c>
      <c r="K3" s="60"/>
      <c r="L3" s="64" t="s">
        <v>14</v>
      </c>
      <c r="M3" s="61" t="s">
        <v>15</v>
      </c>
      <c r="N3" s="64" t="s">
        <v>16</v>
      </c>
      <c r="O3" s="79" t="str">
        <f>HYPERLINK(J4&amp;"/index.php/Qwadmin/Udno/addedit.html?sheetname="&amp;C1,J4&amp;"/index.php/Qwadmin/Udno/addedit.html?sheetname="&amp;C1)</f>
        <v>http://aa.r34.cc/index.php/Qwadmin/Udno/addedit.html?sheetname=经费使用测试汇总</v>
      </c>
      <c r="P3" s="60"/>
      <c r="Q3" s="60"/>
    </row>
    <row r="4" ht="14.45" customHeight="1" spans="1:17">
      <c r="A4" s="60"/>
      <c r="B4" s="61"/>
      <c r="C4" s="67"/>
      <c r="D4" s="66"/>
      <c r="E4" s="64"/>
      <c r="F4" s="61"/>
      <c r="G4" s="61"/>
      <c r="H4" s="60"/>
      <c r="I4" s="64" t="s">
        <v>21</v>
      </c>
      <c r="J4" s="80" t="s">
        <v>22</v>
      </c>
      <c r="K4" s="60"/>
      <c r="L4" s="64" t="s">
        <v>23</v>
      </c>
      <c r="M4" s="61" t="s">
        <v>24</v>
      </c>
      <c r="N4" s="64" t="s">
        <v>25</v>
      </c>
      <c r="O4" s="81" t="str">
        <f>HYPERLINK(CONCATENATE(J4,"/index.php/Qwadmin/Rwxy/echoteacherdb?conall=;数据表名等于",C1,";不显字段等于id,wrpw,data1,data2,ord,rpw,name,pid,custom1,custom2,sheetname;查看密码等于",F1),CONCATENATE(J4,"/index.php/Qwadmin/Rwxy/echoteacherdb?conall=;数据表名等于",C1,";不显字段等于id,wrpw,data1,data2,ord,rpw,name,pid,custom1,custom2,sheetname;查看密码等于",F1))</f>
        <v>http://aa.r34.cc/index.php/Qwadmin/Rwxy/echoteacherdb?conall=;数据表名等于经费使用测试汇总;不显字段等于id,wrpw,data1,data2,ord,rpw,name,pid,custom1,custom2,sheetname;查看密码等于T8O6J3V1BB</v>
      </c>
      <c r="P4" s="60"/>
      <c r="Q4" s="60"/>
    </row>
    <row r="5" ht="14.45" customHeight="1" spans="1:17">
      <c r="A5" s="60"/>
      <c r="B5" s="61"/>
      <c r="C5" s="61"/>
      <c r="D5" s="66"/>
      <c r="E5" s="64" t="s">
        <v>28</v>
      </c>
      <c r="F5" s="68" t="s">
        <v>26</v>
      </c>
      <c r="G5" s="61"/>
      <c r="H5" s="60"/>
      <c r="I5" s="64" t="s">
        <v>29</v>
      </c>
      <c r="J5" s="65" t="s">
        <v>5</v>
      </c>
      <c r="K5" s="60"/>
      <c r="L5" s="64" t="s">
        <v>31</v>
      </c>
      <c r="M5" s="61" t="s">
        <v>32</v>
      </c>
      <c r="N5" s="64" t="s">
        <v>33</v>
      </c>
      <c r="O5" s="82" t="str">
        <f>HYPERLINK(J4&amp;"/index.php/Qwadmin/Rwxy/uniquerydata/rpw/"&amp;F1&amp;".html",J4&amp;"/index.php/Qwadmin/Rwxy/uniquerydata/rpw/"&amp;F1&amp;".html")</f>
        <v>http://aa.r34.cc/index.php/Qwadmin/Rwxy/uniquerydata/rpw/T8O6J3V1BB.html</v>
      </c>
      <c r="P5" s="60"/>
      <c r="Q5" s="60"/>
    </row>
    <row r="6" ht="14.45" customHeight="1" spans="1:17">
      <c r="A6" s="60"/>
      <c r="B6" s="61"/>
      <c r="C6" s="61"/>
      <c r="D6" s="55"/>
      <c r="E6" s="64" t="s">
        <v>36</v>
      </c>
      <c r="F6" s="69" t="s">
        <v>52</v>
      </c>
      <c r="G6" s="61"/>
      <c r="H6" s="60"/>
      <c r="I6" s="64" t="s">
        <v>38</v>
      </c>
      <c r="J6" s="65"/>
      <c r="K6" s="61"/>
      <c r="L6" s="64" t="s">
        <v>39</v>
      </c>
      <c r="M6" s="65" t="s">
        <v>40</v>
      </c>
      <c r="N6" s="83" t="s">
        <v>41</v>
      </c>
      <c r="O6" s="84" t="str">
        <f>HYPERLINK(J4&amp;"/index.php/Qwadmin/Udno/magrecords/wrpw/"&amp;F2&amp;"/sheetname/"&amp;C1&amp;".html",J4&amp;"/index.php/Qwadmin/Udno/magrecords/wrpw/"&amp;F2&amp;"/sheetname/"&amp;C1&amp;".html")</f>
        <v>http://aa.r34.cc/index.php/Qwadmin/Udno/magrecords/wrpw/251H8837772190/sheetname/经费使用测试汇总.html</v>
      </c>
      <c r="P6" s="60"/>
      <c r="Q6" s="60"/>
    </row>
    <row r="7" ht="14.45" customHeight="1" spans="1:17">
      <c r="A7" s="60"/>
      <c r="B7" s="61"/>
      <c r="C7" s="61"/>
      <c r="D7" s="55"/>
      <c r="E7" s="64"/>
      <c r="F7" s="70"/>
      <c r="G7" s="60"/>
      <c r="H7" s="60"/>
      <c r="I7" s="85" t="s">
        <v>44</v>
      </c>
      <c r="J7" s="86"/>
      <c r="K7" s="60"/>
      <c r="L7" s="64" t="s">
        <v>46</v>
      </c>
      <c r="M7" s="83" t="s">
        <v>10</v>
      </c>
      <c r="P7" s="60"/>
      <c r="Q7" s="60"/>
    </row>
    <row r="8" ht="14.45" customHeight="1" spans="1:17">
      <c r="A8" s="60" t="s">
        <v>96</v>
      </c>
      <c r="B8" s="61" t="s">
        <v>1</v>
      </c>
      <c r="C8" s="99" t="s">
        <v>97</v>
      </c>
      <c r="D8" s="66"/>
      <c r="E8" s="64"/>
      <c r="F8" s="70"/>
      <c r="G8" s="60"/>
      <c r="H8" s="60"/>
      <c r="K8" s="60"/>
      <c r="N8" s="60"/>
      <c r="O8" s="60"/>
      <c r="P8" s="60"/>
      <c r="Q8" s="60"/>
    </row>
    <row r="9" s="55" customFormat="1" ht="14.45" customHeight="1" spans="1:50">
      <c r="A9" s="71" t="s">
        <v>17</v>
      </c>
      <c r="B9" s="71" t="s">
        <v>26</v>
      </c>
      <c r="C9" s="71" t="s">
        <v>52</v>
      </c>
      <c r="D9" s="71" t="s">
        <v>34</v>
      </c>
      <c r="E9" s="71" t="s">
        <v>5</v>
      </c>
      <c r="F9" s="72" t="s">
        <v>53</v>
      </c>
      <c r="G9" s="71" t="s">
        <v>98</v>
      </c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67"/>
    </row>
    <row r="10" s="56" customFormat="1" ht="14.45" customHeight="1"/>
    <row r="11" s="57" customFormat="1" ht="14.45" customHeight="1" spans="1:50">
      <c r="A11" s="74" t="s">
        <v>99</v>
      </c>
      <c r="B11" s="74" t="s">
        <v>100</v>
      </c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</row>
    <row r="12" s="58" customFormat="1" ht="14.45" customHeight="1" spans="1:45">
      <c r="A12" s="76" t="s">
        <v>61</v>
      </c>
      <c r="B12" s="76">
        <f>SUMIFS(Sheet1!C:C,Sheet1!A:A,Sheet2!A12,Sheet1!B:B,"收入")-SUMIFS(Sheet1!C:C,Sheet1!A:A,Sheet2!A12,Sheet1!B:B,"支出")</f>
        <v>19809.3</v>
      </c>
      <c r="C12" s="77"/>
      <c r="D12" s="77"/>
      <c r="E12" s="77"/>
      <c r="F12" s="77"/>
      <c r="G12" s="77"/>
      <c r="H12" s="77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</row>
    <row r="13" s="58" customFormat="1" ht="14.45" customHeight="1" spans="1:3">
      <c r="A13" s="76" t="s">
        <v>65</v>
      </c>
      <c r="B13" s="76">
        <f>SUMIFS(Sheet1!C:C,Sheet1!A:A,Sheet2!A13,Sheet1!B:B,"收入")-SUMIFS(Sheet1!C:C,Sheet1!A:A,Sheet2!A13,Sheet1!B:B,"支出")</f>
        <v>9737</v>
      </c>
      <c r="C13" s="78"/>
    </row>
    <row r="14" s="58" customFormat="1" ht="14.45" customHeight="1" spans="1:3">
      <c r="A14" s="76" t="s">
        <v>68</v>
      </c>
      <c r="B14" s="76">
        <f>SUMIFS(Sheet1!C:C,Sheet1!A:A,Sheet2!A14,Sheet1!B:B,"收入")-SUMIFS(Sheet1!C:C,Sheet1!A:A,Sheet2!A14,Sheet1!B:B,"支出")</f>
        <v>10502.1</v>
      </c>
      <c r="C14" s="78"/>
    </row>
    <row r="15" s="58" customFormat="1" ht="14.45" customHeight="1" spans="1:3">
      <c r="A15" s="76" t="s">
        <v>72</v>
      </c>
      <c r="B15" s="76">
        <f>SUMIFS(Sheet1!C:C,Sheet1!A:A,Sheet2!A15,Sheet1!B:B,"收入")-SUMIFS(Sheet1!C:C,Sheet1!A:A,Sheet2!A15,Sheet1!B:B,"支出")</f>
        <v>2325</v>
      </c>
      <c r="C15" s="78"/>
    </row>
    <row r="16" s="58" customFormat="1" ht="14.45" customHeight="1" spans="1:3">
      <c r="A16" s="76" t="s">
        <v>75</v>
      </c>
      <c r="B16" s="76">
        <f>SUMIFS(Sheet1!C:C,Sheet1!A:A,Sheet2!A16,Sheet1!B:B,"收入")-SUMIFS(Sheet1!C:C,Sheet1!A:A,Sheet2!A16,Sheet1!B:B,"支出")</f>
        <v>9900</v>
      </c>
      <c r="C16" s="78"/>
    </row>
    <row r="17" s="58" customFormat="1" ht="14.45" customHeight="1" spans="1:2">
      <c r="A17" s="76" t="s">
        <v>77</v>
      </c>
      <c r="B17" s="76">
        <f>SUMIFS(Sheet1!C:C,Sheet1!A:A,Sheet2!A17,Sheet1!B:B,"收入")-SUMIFS(Sheet1!C:C,Sheet1!A:A,Sheet2!A17,Sheet1!B:B,"支出")</f>
        <v>2883</v>
      </c>
    </row>
    <row r="18" s="58" customFormat="1" ht="14.45" customHeight="1" spans="1:4">
      <c r="A18" s="76" t="s">
        <v>78</v>
      </c>
      <c r="B18" s="76">
        <f>SUMIFS(Sheet1!C:C,Sheet1!A:A,Sheet2!A18,Sheet1!B:B,"收入")-SUMIFS(Sheet1!C:C,Sheet1!A:A,Sheet2!A18,Sheet1!B:B,"支出")</f>
        <v>1122.62</v>
      </c>
      <c r="D18" s="78"/>
    </row>
    <row r="19" ht="14.45" customHeight="1" spans="1:45">
      <c r="A19"/>
      <c r="B19" s="76"/>
      <c r="C19" s="58"/>
      <c r="D19" s="7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</row>
    <row r="20" ht="14.45" customHeight="1" spans="1:9">
      <c r="A20"/>
      <c r="D20" s="59"/>
      <c r="I20" s="78"/>
    </row>
    <row r="21" ht="14.45" customHeight="1" spans="1:9">
      <c r="A21"/>
      <c r="D21" s="59"/>
      <c r="I21" s="78"/>
    </row>
    <row r="22" ht="14.45" customHeight="1" spans="1:9">
      <c r="A22"/>
      <c r="D22" s="59"/>
      <c r="I22" s="78"/>
    </row>
    <row r="23" ht="14.45" customHeight="1" spans="1:9">
      <c r="A23"/>
      <c r="D23" s="59"/>
      <c r="I23" s="78"/>
    </row>
    <row r="24" ht="14.45" customHeight="1" spans="1:9">
      <c r="A24"/>
      <c r="D24" s="59"/>
      <c r="I24" s="78"/>
    </row>
    <row r="25" ht="14.45" customHeight="1" spans="1:9">
      <c r="A25"/>
      <c r="D25" s="59"/>
      <c r="I25" s="78"/>
    </row>
    <row r="26" ht="14.45" customHeight="1" spans="1:9">
      <c r="A26"/>
      <c r="D26" s="59"/>
      <c r="I26" s="78"/>
    </row>
    <row r="27" ht="14.45" customHeight="1" spans="1:9">
      <c r="A27"/>
      <c r="D27" s="59"/>
      <c r="I27" s="78"/>
    </row>
    <row r="28" ht="14.45" customHeight="1" spans="1:9">
      <c r="A28"/>
      <c r="D28" s="59"/>
      <c r="I28" s="78"/>
    </row>
    <row r="29" ht="14.45" customHeight="1" spans="1:9">
      <c r="A29"/>
      <c r="D29" s="59"/>
      <c r="I29" s="78"/>
    </row>
    <row r="30" ht="14.45" customHeight="1" spans="1:9">
      <c r="A30"/>
      <c r="D30" s="59"/>
      <c r="I30" s="78"/>
    </row>
    <row r="31" ht="14.45" customHeight="1" spans="1:9">
      <c r="A31"/>
      <c r="D31" s="59"/>
      <c r="I31" s="78"/>
    </row>
    <row r="32" ht="14.45" customHeight="1" spans="1:9">
      <c r="A32"/>
      <c r="D32" s="59"/>
      <c r="I32" s="78"/>
    </row>
    <row r="33" ht="14.45" customHeight="1" spans="1:9">
      <c r="A33"/>
      <c r="D33" s="59"/>
      <c r="I33" s="78"/>
    </row>
    <row r="34" ht="14.45" customHeight="1" spans="4:9">
      <c r="D34" s="59"/>
      <c r="I34" s="78"/>
    </row>
    <row r="35" ht="14.45" customHeight="1" spans="4:9">
      <c r="D35" s="59"/>
      <c r="I35" s="78"/>
    </row>
    <row r="36" ht="14.45" customHeight="1" spans="4:9">
      <c r="D36" s="59"/>
      <c r="I36" s="78"/>
    </row>
    <row r="37" ht="14.45" customHeight="1" spans="4:9">
      <c r="D37" s="59"/>
      <c r="I37" s="78"/>
    </row>
    <row r="38" ht="14.45" customHeight="1" spans="4:9">
      <c r="D38" s="59"/>
      <c r="I38" s="78"/>
    </row>
    <row r="39" ht="14.45" customHeight="1" spans="4:9">
      <c r="D39" s="59"/>
      <c r="I39" s="78"/>
    </row>
    <row r="40" ht="14.45" customHeight="1" spans="4:9">
      <c r="D40" s="59"/>
      <c r="I40" s="78"/>
    </row>
    <row r="41" ht="14.45" customHeight="1" spans="4:9">
      <c r="D41" s="59"/>
      <c r="I41" s="78"/>
    </row>
    <row r="42" ht="14.45" customHeight="1" spans="4:9">
      <c r="D42" s="59"/>
      <c r="I42" s="78"/>
    </row>
    <row r="43" ht="14.45" customHeight="1" spans="4:9">
      <c r="D43" s="59"/>
      <c r="I43" s="78"/>
    </row>
    <row r="44" ht="14.45" customHeight="1" spans="4:9">
      <c r="D44" s="59"/>
      <c r="I44" s="78"/>
    </row>
    <row r="45" ht="14.45" customHeight="1" spans="4:9">
      <c r="D45" s="59"/>
      <c r="I45" s="78"/>
    </row>
    <row r="46" ht="14.45" customHeight="1" spans="4:9">
      <c r="D46" s="59"/>
      <c r="I46" s="78"/>
    </row>
    <row r="47" ht="14.45" customHeight="1" spans="4:9">
      <c r="D47" s="59"/>
      <c r="I47" s="78"/>
    </row>
    <row r="48" ht="14.45" customHeight="1" spans="4:9">
      <c r="D48" s="59"/>
      <c r="I48" s="78"/>
    </row>
    <row r="49" ht="14.45" customHeight="1" spans="4:9">
      <c r="D49" s="59"/>
      <c r="I49" s="78"/>
    </row>
    <row r="50" ht="14.45" customHeight="1" spans="4:9">
      <c r="D50" s="59"/>
      <c r="I50" s="78"/>
    </row>
    <row r="51" ht="14.45" customHeight="1" spans="4:9">
      <c r="D51" s="59"/>
      <c r="I51" s="78"/>
    </row>
    <row r="52" ht="14.45" customHeight="1" spans="4:9">
      <c r="D52" s="59"/>
      <c r="I52" s="78"/>
    </row>
    <row r="53" ht="14.45" customHeight="1" spans="4:9">
      <c r="D53" s="59"/>
      <c r="I53" s="78"/>
    </row>
    <row r="54" ht="14.45" customHeight="1" spans="4:9">
      <c r="D54" s="59"/>
      <c r="I54" s="78"/>
    </row>
    <row r="55" ht="14.45" customHeight="1" spans="4:9">
      <c r="D55" s="59"/>
      <c r="I55" s="78"/>
    </row>
    <row r="56" ht="14.45" customHeight="1" spans="4:9">
      <c r="D56" s="59"/>
      <c r="I56" s="78"/>
    </row>
    <row r="57" ht="14.45" customHeight="1" spans="4:9">
      <c r="D57" s="59"/>
      <c r="I57" s="78"/>
    </row>
    <row r="58" ht="14.45" customHeight="1" spans="4:9">
      <c r="D58" s="59"/>
      <c r="I58" s="78"/>
    </row>
    <row r="59" ht="14.45" customHeight="1" spans="4:9">
      <c r="D59" s="59"/>
      <c r="I59" s="78"/>
    </row>
    <row r="60" ht="14.45" customHeight="1" spans="4:9">
      <c r="D60" s="59"/>
      <c r="I60" s="78"/>
    </row>
    <row r="61" ht="14.45" customHeight="1" spans="4:9">
      <c r="D61" s="59"/>
      <c r="I61" s="78"/>
    </row>
    <row r="62" ht="14.45" customHeight="1" spans="4:9">
      <c r="D62" s="59"/>
      <c r="I62" s="78"/>
    </row>
    <row r="63" ht="14.45" customHeight="1" spans="4:9">
      <c r="D63" s="59"/>
      <c r="I63" s="78"/>
    </row>
    <row r="64" ht="14.45" customHeight="1" spans="4:9">
      <c r="D64" s="59"/>
      <c r="I64" s="78"/>
    </row>
    <row r="65" ht="14.45" customHeight="1" spans="4:9">
      <c r="D65" s="59"/>
      <c r="I65" s="78"/>
    </row>
    <row r="66" ht="14.45" customHeight="1" spans="4:9">
      <c r="D66" s="59"/>
      <c r="I66" s="78"/>
    </row>
    <row r="67" ht="14.45" customHeight="1" spans="4:9">
      <c r="D67" s="59"/>
      <c r="I67" s="78"/>
    </row>
    <row r="68" ht="14.45" customHeight="1" spans="4:9">
      <c r="D68" s="59"/>
      <c r="I68" s="78"/>
    </row>
    <row r="69" ht="14.45" customHeight="1" spans="4:9">
      <c r="D69" s="59"/>
      <c r="I69" s="78"/>
    </row>
    <row r="70" ht="14.45" customHeight="1" spans="4:9">
      <c r="D70" s="59"/>
      <c r="I70" s="78"/>
    </row>
    <row r="71" ht="14.45" customHeight="1" spans="4:9">
      <c r="D71" s="59"/>
      <c r="I71" s="78"/>
    </row>
    <row r="72" ht="14.45" customHeight="1" spans="4:9">
      <c r="D72" s="59"/>
      <c r="I72" s="78"/>
    </row>
    <row r="73" ht="14.45" customHeight="1" spans="4:9">
      <c r="D73" s="59"/>
      <c r="I73" s="78"/>
    </row>
    <row r="74" ht="14.45" customHeight="1" spans="4:9">
      <c r="D74" s="59"/>
      <c r="I74" s="78"/>
    </row>
    <row r="75" ht="14.45" customHeight="1" spans="4:9">
      <c r="D75" s="59"/>
      <c r="I75" s="78"/>
    </row>
    <row r="76" ht="14.45" customHeight="1" spans="4:9">
      <c r="D76" s="59"/>
      <c r="I76" s="78"/>
    </row>
    <row r="77" ht="14.45" customHeight="1" spans="4:9">
      <c r="D77" s="59"/>
      <c r="I77" s="78"/>
    </row>
    <row r="78" ht="14.45" customHeight="1" spans="4:9">
      <c r="D78" s="59"/>
      <c r="I78" s="78"/>
    </row>
    <row r="79" ht="14.45" customHeight="1" spans="4:9">
      <c r="D79" s="59"/>
      <c r="I79" s="78"/>
    </row>
    <row r="80" ht="14.45" customHeight="1" spans="4:9">
      <c r="D80" s="59"/>
      <c r="I80" s="78"/>
    </row>
    <row r="81" ht="14.45" customHeight="1" spans="4:9">
      <c r="D81" s="59"/>
      <c r="I81" s="78"/>
    </row>
    <row r="82" ht="14.45" customHeight="1" spans="4:9">
      <c r="D82" s="59"/>
      <c r="I82" s="78"/>
    </row>
    <row r="83" ht="14.45" customHeight="1" spans="4:9">
      <c r="D83" s="59"/>
      <c r="I83" s="78"/>
    </row>
    <row r="84" ht="14.45" customHeight="1" spans="4:9">
      <c r="D84" s="59"/>
      <c r="I84" s="78"/>
    </row>
    <row r="85" ht="14.45" customHeight="1" spans="4:9">
      <c r="D85" s="59"/>
      <c r="I85" s="78"/>
    </row>
    <row r="86" ht="14.45" customHeight="1" spans="4:9">
      <c r="D86" s="59"/>
      <c r="I86" s="78"/>
    </row>
    <row r="87" ht="14.45" customHeight="1" spans="4:9">
      <c r="D87" s="59"/>
      <c r="I87" s="78"/>
    </row>
    <row r="88" ht="14.45" customHeight="1" spans="4:9">
      <c r="D88" s="59"/>
      <c r="I88" s="78"/>
    </row>
    <row r="89" ht="14.45" customHeight="1" spans="4:9">
      <c r="D89" s="59"/>
      <c r="I89" s="78"/>
    </row>
    <row r="90" ht="14.45" customHeight="1" spans="4:9">
      <c r="D90" s="59"/>
      <c r="I90" s="78"/>
    </row>
    <row r="91" ht="14.45" customHeight="1" spans="4:9">
      <c r="D91" s="59"/>
      <c r="I91" s="78"/>
    </row>
    <row r="92" ht="14.45" customHeight="1" spans="4:9">
      <c r="D92" s="59"/>
      <c r="I92" s="78"/>
    </row>
    <row r="93" ht="14.45" customHeight="1" spans="4:9">
      <c r="D93" s="59"/>
      <c r="I93" s="78"/>
    </row>
    <row r="94" ht="14.45" customHeight="1" spans="4:9">
      <c r="D94" s="59"/>
      <c r="I94" s="78"/>
    </row>
    <row r="95" ht="14.45" customHeight="1" spans="4:9">
      <c r="D95" s="59"/>
      <c r="I95" s="78"/>
    </row>
    <row r="96" ht="14.45" customHeight="1" spans="4:9">
      <c r="D96" s="59"/>
      <c r="I96" s="78"/>
    </row>
    <row r="97" ht="14.45" customHeight="1" spans="4:9">
      <c r="D97" s="59"/>
      <c r="I97" s="78"/>
    </row>
    <row r="98" ht="14.45" customHeight="1" spans="4:9">
      <c r="D98" s="59"/>
      <c r="I98" s="78"/>
    </row>
    <row r="99" ht="14.45" customHeight="1" spans="4:9">
      <c r="D99" s="59"/>
      <c r="I99" s="78"/>
    </row>
    <row r="100" ht="14.45" customHeight="1" spans="4:9">
      <c r="D100" s="59"/>
      <c r="I100" s="78"/>
    </row>
    <row r="101" ht="14.45" customHeight="1" spans="4:9">
      <c r="D101" s="59"/>
      <c r="I101" s="78"/>
    </row>
    <row r="102" ht="14.45" customHeight="1" spans="4:9">
      <c r="D102" s="59"/>
      <c r="I102" s="78"/>
    </row>
    <row r="103" ht="14.45" customHeight="1" spans="4:9">
      <c r="D103" s="59"/>
      <c r="I103" s="78"/>
    </row>
    <row r="104" ht="14.45" customHeight="1" spans="4:9">
      <c r="D104" s="59"/>
      <c r="I104" s="78"/>
    </row>
    <row r="105" ht="14.45" customHeight="1" spans="4:9">
      <c r="D105" s="59"/>
      <c r="I105" s="78"/>
    </row>
    <row r="106" ht="14.45" customHeight="1" spans="4:9">
      <c r="D106" s="59"/>
      <c r="I106" s="78"/>
    </row>
    <row r="107" ht="14.45" customHeight="1" spans="4:9">
      <c r="D107" s="59"/>
      <c r="I107" s="78"/>
    </row>
    <row r="108" ht="14.45" customHeight="1" spans="4:9">
      <c r="D108" s="59"/>
      <c r="I108" s="78"/>
    </row>
    <row r="109" ht="14.45" customHeight="1" spans="4:9">
      <c r="D109" s="59"/>
      <c r="I109" s="78"/>
    </row>
    <row r="110" ht="14.45" customHeight="1" spans="4:9">
      <c r="D110" s="59"/>
      <c r="I110" s="78"/>
    </row>
    <row r="111" ht="14.45" customHeight="1" spans="4:9">
      <c r="D111" s="59"/>
      <c r="I111" s="78"/>
    </row>
    <row r="112" ht="14.45" customHeight="1" spans="4:9">
      <c r="D112" s="59"/>
      <c r="I112" s="78"/>
    </row>
    <row r="113" ht="14.45" customHeight="1" spans="4:9">
      <c r="D113" s="59"/>
      <c r="I113" s="78"/>
    </row>
    <row r="114" ht="14.45" customHeight="1" spans="4:9">
      <c r="D114" s="59"/>
      <c r="I114" s="78"/>
    </row>
    <row r="115" ht="14.45" customHeight="1" spans="4:9">
      <c r="D115" s="59"/>
      <c r="I115" s="78"/>
    </row>
    <row r="116" ht="14.45" customHeight="1" spans="4:9">
      <c r="D116" s="59"/>
      <c r="I116" s="78"/>
    </row>
    <row r="117" ht="14.45" customHeight="1" spans="4:9">
      <c r="D117" s="59"/>
      <c r="I117" s="78"/>
    </row>
    <row r="118" ht="14.45" customHeight="1" spans="4:9">
      <c r="D118" s="59"/>
      <c r="I118" s="78"/>
    </row>
    <row r="119" ht="14.45" customHeight="1" spans="4:9">
      <c r="D119" s="59"/>
      <c r="I119" s="78"/>
    </row>
    <row r="120" ht="14.45" customHeight="1" spans="4:9">
      <c r="D120" s="59"/>
      <c r="I120" s="78"/>
    </row>
    <row r="121" ht="14.45" customHeight="1" spans="4:9">
      <c r="D121" s="59"/>
      <c r="I121" s="78"/>
    </row>
    <row r="122" ht="14.45" customHeight="1" spans="4:9">
      <c r="D122" s="59"/>
      <c r="I122" s="78"/>
    </row>
    <row r="123" ht="14.45" customHeight="1" spans="4:9">
      <c r="D123" s="59"/>
      <c r="I123" s="78"/>
    </row>
    <row r="124" ht="14.45" customHeight="1" spans="4:9">
      <c r="D124" s="59"/>
      <c r="I124" s="78"/>
    </row>
    <row r="125" ht="14.45" customHeight="1" spans="4:9">
      <c r="D125" s="59"/>
      <c r="I125" s="78"/>
    </row>
    <row r="126" ht="14.45" customHeight="1" spans="4:9">
      <c r="D126" s="59"/>
      <c r="I126" s="78"/>
    </row>
    <row r="127" ht="14.45" customHeight="1" spans="4:9">
      <c r="D127" s="59"/>
      <c r="I127" s="78"/>
    </row>
    <row r="128" ht="14.45" customHeight="1" spans="4:9">
      <c r="D128" s="59"/>
      <c r="I128" s="78"/>
    </row>
    <row r="129" ht="14.45" customHeight="1" spans="4:9">
      <c r="D129" s="59"/>
      <c r="I129" s="78"/>
    </row>
    <row r="130" ht="14.45" customHeight="1" spans="4:9">
      <c r="D130" s="59"/>
      <c r="I130" s="78"/>
    </row>
    <row r="131" ht="14.45" customHeight="1" spans="4:9">
      <c r="D131" s="59"/>
      <c r="I131" s="78"/>
    </row>
    <row r="132" ht="14.45" customHeight="1" spans="4:9">
      <c r="D132" s="59"/>
      <c r="I132" s="78"/>
    </row>
    <row r="133" ht="14.45" customHeight="1" spans="4:9">
      <c r="D133" s="59"/>
      <c r="I133" s="78"/>
    </row>
    <row r="134" ht="14.45" customHeight="1" spans="4:9">
      <c r="D134" s="59"/>
      <c r="I134" s="78"/>
    </row>
    <row r="135" ht="14.45" customHeight="1" spans="4:9">
      <c r="D135" s="59"/>
      <c r="I135" s="78"/>
    </row>
    <row r="136" ht="14.45" customHeight="1" spans="4:9">
      <c r="D136" s="59"/>
      <c r="I136" s="78"/>
    </row>
    <row r="137" ht="14.45" customHeight="1" spans="4:9">
      <c r="D137" s="59"/>
      <c r="I137" s="78"/>
    </row>
    <row r="138" ht="14.45" customHeight="1" spans="4:9">
      <c r="D138" s="59"/>
      <c r="I138" s="78"/>
    </row>
    <row r="139" ht="14.45" customHeight="1" spans="4:9">
      <c r="D139" s="59"/>
      <c r="I139" s="78"/>
    </row>
    <row r="140" ht="14.45" customHeight="1" spans="4:9">
      <c r="D140" s="59"/>
      <c r="I140" s="78"/>
    </row>
    <row r="141" ht="14.45" customHeight="1" spans="4:9">
      <c r="D141" s="59"/>
      <c r="I141" s="78"/>
    </row>
    <row r="142" ht="14.45" customHeight="1" spans="4:9">
      <c r="D142" s="59"/>
      <c r="I142" s="78"/>
    </row>
    <row r="143" ht="14.45" customHeight="1" spans="4:9">
      <c r="D143" s="59"/>
      <c r="I143" s="78"/>
    </row>
    <row r="144" ht="14.45" customHeight="1" spans="4:9">
      <c r="D144" s="59"/>
      <c r="I144" s="78"/>
    </row>
    <row r="145" ht="14.45" customHeight="1" spans="4:9">
      <c r="D145" s="59"/>
      <c r="I145" s="78"/>
    </row>
    <row r="146" ht="14.45" customHeight="1" spans="4:9">
      <c r="D146" s="59"/>
      <c r="I146" s="78"/>
    </row>
    <row r="147" ht="14.45" customHeight="1" spans="4:9">
      <c r="D147" s="59"/>
      <c r="I147" s="78"/>
    </row>
    <row r="148" ht="14.45" customHeight="1" spans="4:9">
      <c r="D148" s="59"/>
      <c r="I148" s="78"/>
    </row>
    <row r="149" ht="14.45" customHeight="1" spans="4:9">
      <c r="D149" s="59"/>
      <c r="I149" s="78"/>
    </row>
    <row r="150" ht="14.45" customHeight="1" spans="4:9">
      <c r="D150" s="59"/>
      <c r="I150" s="78"/>
    </row>
    <row r="151" ht="14.45" customHeight="1" spans="4:9">
      <c r="D151" s="59"/>
      <c r="I151" s="78"/>
    </row>
    <row r="152" ht="14.45" customHeight="1" spans="4:9">
      <c r="D152" s="59"/>
      <c r="I152" s="78"/>
    </row>
    <row r="153" ht="14.45" customHeight="1" spans="4:9">
      <c r="D153" s="59"/>
      <c r="I153" s="78"/>
    </row>
    <row r="154" ht="14.45" customHeight="1" spans="4:9">
      <c r="D154" s="59"/>
      <c r="I154" s="78"/>
    </row>
    <row r="155" ht="14.45" customHeight="1" spans="4:9">
      <c r="D155" s="59"/>
      <c r="I155" s="78"/>
    </row>
    <row r="156" ht="14.45" customHeight="1" spans="4:9">
      <c r="D156" s="59"/>
      <c r="I156" s="78"/>
    </row>
    <row r="157" ht="14.45" customHeight="1" spans="4:9">
      <c r="D157" s="59"/>
      <c r="I157" s="78"/>
    </row>
    <row r="158" ht="14.45" customHeight="1" spans="4:9">
      <c r="D158" s="59"/>
      <c r="I158" s="78"/>
    </row>
    <row r="159" ht="14.45" customHeight="1" spans="4:9">
      <c r="D159" s="59"/>
      <c r="I159" s="78"/>
    </row>
    <row r="160" ht="14.45" customHeight="1" spans="4:9">
      <c r="D160" s="59"/>
      <c r="I160" s="78"/>
    </row>
    <row r="161" ht="14.45" customHeight="1" spans="4:9">
      <c r="D161" s="59"/>
      <c r="I161" s="78"/>
    </row>
    <row r="162" ht="14.45" customHeight="1" spans="4:9">
      <c r="D162" s="59"/>
      <c r="I162" s="78"/>
    </row>
    <row r="163" ht="14.45" customHeight="1" spans="4:9">
      <c r="D163" s="59"/>
      <c r="I163" s="78"/>
    </row>
    <row r="164" ht="14.45" customHeight="1" spans="4:9">
      <c r="D164" s="59"/>
      <c r="I164" s="78"/>
    </row>
    <row r="165" ht="14.45" customHeight="1" spans="4:9">
      <c r="D165" s="59"/>
      <c r="I165" s="78"/>
    </row>
    <row r="166" ht="14.45" customHeight="1" spans="4:9">
      <c r="D166" s="59"/>
      <c r="I166" s="78"/>
    </row>
    <row r="167" ht="14.45" customHeight="1" spans="4:9">
      <c r="D167" s="59"/>
      <c r="I167" s="78"/>
    </row>
    <row r="168" ht="14.45" customHeight="1" spans="4:9">
      <c r="D168" s="59"/>
      <c r="I168" s="78"/>
    </row>
    <row r="169" ht="14.45" customHeight="1" spans="4:9">
      <c r="D169" s="59"/>
      <c r="I169" s="78"/>
    </row>
    <row r="170" ht="14.45" customHeight="1" spans="4:9">
      <c r="D170" s="59"/>
      <c r="I170" s="78"/>
    </row>
    <row r="171" ht="14.45" customHeight="1" spans="4:9">
      <c r="D171" s="59"/>
      <c r="I171" s="78"/>
    </row>
    <row r="172" ht="14.45" customHeight="1" spans="4:9">
      <c r="D172" s="59"/>
      <c r="I172" s="78"/>
    </row>
    <row r="173" ht="14.45" customHeight="1" spans="4:9">
      <c r="D173" s="59"/>
      <c r="I173" s="78"/>
    </row>
    <row r="174" ht="14.45" customHeight="1" spans="4:9">
      <c r="D174" s="59"/>
      <c r="I174" s="78"/>
    </row>
    <row r="175" ht="14.45" customHeight="1" spans="4:9">
      <c r="D175" s="59"/>
      <c r="I175" s="78"/>
    </row>
    <row r="176" ht="14.45" customHeight="1" spans="4:9">
      <c r="D176" s="59"/>
      <c r="I176" s="78"/>
    </row>
    <row r="177" ht="14.45" customHeight="1" spans="4:9">
      <c r="D177" s="59"/>
      <c r="I177" s="78"/>
    </row>
    <row r="178" ht="14.45" customHeight="1" spans="4:9">
      <c r="D178" s="59"/>
      <c r="I178" s="78"/>
    </row>
    <row r="179" ht="14.45" customHeight="1" spans="4:9">
      <c r="D179" s="59"/>
      <c r="I179" s="78"/>
    </row>
    <row r="180" ht="14.45" customHeight="1" spans="4:9">
      <c r="D180" s="59"/>
      <c r="I180" s="78"/>
    </row>
    <row r="181" ht="14.45" customHeight="1" spans="4:9">
      <c r="D181" s="59"/>
      <c r="I181" s="78"/>
    </row>
    <row r="182" ht="14.45" customHeight="1" spans="4:9">
      <c r="D182" s="59"/>
      <c r="I182" s="78"/>
    </row>
    <row r="183" ht="14.45" customHeight="1" spans="4:9">
      <c r="D183" s="59"/>
      <c r="I183" s="78"/>
    </row>
    <row r="184" ht="14.45" customHeight="1" spans="4:9">
      <c r="D184" s="59"/>
      <c r="I184" s="78"/>
    </row>
    <row r="185" ht="14.45" customHeight="1" spans="4:9">
      <c r="D185" s="59"/>
      <c r="I185" s="78"/>
    </row>
    <row r="186" ht="14.45" customHeight="1" spans="4:9">
      <c r="D186" s="59"/>
      <c r="I186" s="78"/>
    </row>
    <row r="187" ht="14.45" customHeight="1" spans="4:9">
      <c r="D187" s="59"/>
      <c r="I187" s="78"/>
    </row>
    <row r="188" ht="14.45" customHeight="1" spans="4:9">
      <c r="D188" s="59"/>
      <c r="I188" s="78"/>
    </row>
    <row r="189" ht="14.45" customHeight="1" spans="4:9">
      <c r="D189" s="59"/>
      <c r="I189" s="78"/>
    </row>
    <row r="190" ht="14.45" customHeight="1" spans="4:9">
      <c r="D190" s="59"/>
      <c r="I190" s="78"/>
    </row>
    <row r="191" ht="14.45" customHeight="1" spans="4:9">
      <c r="D191" s="59"/>
      <c r="I191" s="78"/>
    </row>
    <row r="192" ht="14.45" customHeight="1" spans="4:9">
      <c r="D192" s="59"/>
      <c r="I192" s="78"/>
    </row>
    <row r="193" ht="14.45" customHeight="1" spans="4:9">
      <c r="D193" s="59"/>
      <c r="I193" s="78"/>
    </row>
    <row r="194" ht="14.45" customHeight="1" spans="4:9">
      <c r="D194" s="59"/>
      <c r="I194" s="78"/>
    </row>
    <row r="195" ht="14.45" customHeight="1" spans="4:9">
      <c r="D195" s="59"/>
      <c r="I195" s="78"/>
    </row>
    <row r="196" ht="14.45" customHeight="1" spans="4:9">
      <c r="D196" s="59"/>
      <c r="I196" s="78"/>
    </row>
    <row r="197" ht="14.45" customHeight="1" spans="4:9">
      <c r="D197" s="59"/>
      <c r="I197" s="78"/>
    </row>
    <row r="198" ht="14.45" customHeight="1" spans="4:9">
      <c r="D198" s="59"/>
      <c r="I198" s="78"/>
    </row>
    <row r="199" ht="14.45" customHeight="1" spans="4:9">
      <c r="D199" s="59"/>
      <c r="I199" s="78"/>
    </row>
    <row r="200" ht="14.45" customHeight="1" spans="4:9">
      <c r="D200" s="59"/>
      <c r="I200" s="78"/>
    </row>
    <row r="201" ht="14.45" customHeight="1" spans="4:9">
      <c r="D201" s="59"/>
      <c r="I201" s="78"/>
    </row>
    <row r="202" ht="14.45" customHeight="1" spans="4:9">
      <c r="D202" s="59"/>
      <c r="I202" s="78"/>
    </row>
    <row r="203" ht="14.45" customHeight="1" spans="4:9">
      <c r="D203" s="59"/>
      <c r="I203" s="78"/>
    </row>
    <row r="204" ht="14.45" customHeight="1" spans="4:9">
      <c r="D204" s="59"/>
      <c r="I204" s="78"/>
    </row>
    <row r="205" ht="14.45" customHeight="1" spans="4:9">
      <c r="D205" s="59"/>
      <c r="I205" s="78"/>
    </row>
    <row r="206" ht="14.45" customHeight="1" spans="4:9">
      <c r="D206" s="59"/>
      <c r="I206" s="78"/>
    </row>
    <row r="207" ht="14.45" customHeight="1" spans="4:9">
      <c r="D207" s="59"/>
      <c r="I207" s="78"/>
    </row>
    <row r="208" ht="14.45" customHeight="1" spans="4:9">
      <c r="D208" s="59"/>
      <c r="I208" s="78"/>
    </row>
    <row r="209" ht="14.45" customHeight="1" spans="4:9">
      <c r="D209" s="59"/>
      <c r="I209" s="78"/>
    </row>
    <row r="210" ht="14.45" customHeight="1" spans="4:9">
      <c r="D210" s="59"/>
      <c r="I210" s="78"/>
    </row>
    <row r="211" ht="14.45" customHeight="1" spans="4:9">
      <c r="D211" s="59"/>
      <c r="I211" s="78"/>
    </row>
    <row r="212" ht="14.45" customHeight="1" spans="4:9">
      <c r="D212" s="59"/>
      <c r="I212" s="78"/>
    </row>
    <row r="213" ht="14.45" customHeight="1" spans="4:9">
      <c r="D213" s="59"/>
      <c r="I213" s="78"/>
    </row>
    <row r="214" ht="14.45" customHeight="1" spans="4:9">
      <c r="D214" s="59"/>
      <c r="I214" s="78"/>
    </row>
    <row r="215" ht="14.45" customHeight="1" spans="4:9">
      <c r="D215" s="59"/>
      <c r="I215" s="78"/>
    </row>
    <row r="216" ht="14.45" customHeight="1" spans="4:9">
      <c r="D216" s="59"/>
      <c r="I216" s="78"/>
    </row>
    <row r="217" ht="14.45" customHeight="1" spans="4:9">
      <c r="D217" s="59"/>
      <c r="I217" s="78"/>
    </row>
    <row r="218" ht="14.45" customHeight="1" spans="4:9">
      <c r="D218" s="59"/>
      <c r="I218" s="78"/>
    </row>
    <row r="219" ht="14.45" customHeight="1" spans="4:9">
      <c r="D219" s="59"/>
      <c r="I219" s="78"/>
    </row>
    <row r="220" ht="14.45" customHeight="1" spans="4:9">
      <c r="D220" s="59"/>
      <c r="I220" s="78"/>
    </row>
    <row r="221" ht="14.45" customHeight="1" spans="4:9">
      <c r="D221" s="59"/>
      <c r="I221" s="78"/>
    </row>
    <row r="222" ht="14.45" customHeight="1" spans="4:9">
      <c r="D222" s="59"/>
      <c r="I222" s="78"/>
    </row>
    <row r="223" ht="14.45" customHeight="1" spans="4:9">
      <c r="D223" s="59"/>
      <c r="I223" s="78"/>
    </row>
    <row r="224" ht="14.45" customHeight="1" spans="4:9">
      <c r="D224" s="59"/>
      <c r="I224" s="78"/>
    </row>
    <row r="225" ht="14.45" customHeight="1" spans="4:9">
      <c r="D225" s="59"/>
      <c r="I225" s="78"/>
    </row>
    <row r="226" ht="14.45" customHeight="1" spans="4:9">
      <c r="D226" s="59"/>
      <c r="I226" s="78"/>
    </row>
    <row r="227" ht="14.45" customHeight="1" spans="4:9">
      <c r="D227" s="59"/>
      <c r="I227" s="78"/>
    </row>
    <row r="228" ht="14.45" customHeight="1" spans="4:9">
      <c r="D228" s="59"/>
      <c r="I228" s="78"/>
    </row>
    <row r="229" ht="14.45" customHeight="1" spans="4:9">
      <c r="D229" s="59"/>
      <c r="I229" s="78"/>
    </row>
    <row r="230" ht="14.45" customHeight="1" spans="4:9">
      <c r="D230" s="59"/>
      <c r="I230" s="78"/>
    </row>
    <row r="231" ht="14.45" customHeight="1" spans="4:9">
      <c r="D231" s="59"/>
      <c r="I231" s="78"/>
    </row>
    <row r="232" ht="14.45" customHeight="1" spans="4:9">
      <c r="D232" s="59"/>
      <c r="I232" s="78"/>
    </row>
    <row r="233" ht="14.45" customHeight="1" spans="4:9">
      <c r="D233" s="59"/>
      <c r="I233" s="78"/>
    </row>
    <row r="234" ht="14.45" customHeight="1" spans="4:9">
      <c r="D234" s="59"/>
      <c r="I234" s="78"/>
    </row>
    <row r="235" ht="14.45" customHeight="1" spans="4:9">
      <c r="D235" s="59"/>
      <c r="I235" s="78"/>
    </row>
    <row r="236" ht="14.45" customHeight="1" spans="4:9">
      <c r="D236" s="59"/>
      <c r="I236" s="78"/>
    </row>
    <row r="237" ht="14.45" customHeight="1" spans="4:9">
      <c r="D237" s="59"/>
      <c r="I237" s="78"/>
    </row>
    <row r="238" ht="14.45" customHeight="1" spans="4:9">
      <c r="D238" s="59"/>
      <c r="I238" s="78"/>
    </row>
    <row r="239" ht="14.45" customHeight="1" spans="4:9">
      <c r="D239" s="59"/>
      <c r="I239" s="78"/>
    </row>
    <row r="240" ht="14.45" customHeight="1" spans="4:9">
      <c r="D240" s="59"/>
      <c r="I240" s="78"/>
    </row>
    <row r="241" ht="14.45" customHeight="1" spans="4:9">
      <c r="D241" s="59"/>
      <c r="I241" s="78"/>
    </row>
    <row r="242" ht="14.45" customHeight="1" spans="4:9">
      <c r="D242" s="59"/>
      <c r="I242" s="78"/>
    </row>
    <row r="243" ht="14.45" customHeight="1" spans="4:9">
      <c r="D243" s="59"/>
      <c r="I243" s="78"/>
    </row>
    <row r="244" ht="14.45" customHeight="1" spans="4:9">
      <c r="D244" s="59"/>
      <c r="I244" s="78"/>
    </row>
    <row r="245" ht="14.45" customHeight="1" spans="4:9">
      <c r="D245" s="59"/>
      <c r="I245" s="78"/>
    </row>
    <row r="246" ht="14.45" customHeight="1" spans="4:9">
      <c r="D246" s="59"/>
      <c r="I246" s="78"/>
    </row>
    <row r="247" ht="14.45" customHeight="1" spans="4:9">
      <c r="D247" s="59"/>
      <c r="I247" s="78"/>
    </row>
    <row r="248" ht="14.45" customHeight="1" spans="4:9">
      <c r="D248" s="59"/>
      <c r="I248" s="78"/>
    </row>
    <row r="249" ht="14.45" customHeight="1" spans="4:9">
      <c r="D249" s="59"/>
      <c r="I249" s="78"/>
    </row>
    <row r="250" ht="14.45" customHeight="1" spans="4:9">
      <c r="D250" s="59"/>
      <c r="I250" s="78"/>
    </row>
    <row r="251" ht="14.45" customHeight="1" spans="4:9">
      <c r="D251" s="59"/>
      <c r="I251" s="78"/>
    </row>
    <row r="252" ht="14.45" customHeight="1" spans="4:9">
      <c r="D252" s="59"/>
      <c r="I252" s="78"/>
    </row>
    <row r="253" ht="14.45" customHeight="1" spans="4:9">
      <c r="D253" s="59"/>
      <c r="I253" s="78"/>
    </row>
    <row r="254" ht="14.45" customHeight="1" spans="4:9">
      <c r="D254" s="59"/>
      <c r="I254" s="78"/>
    </row>
    <row r="255" ht="14.45" customHeight="1" spans="4:9">
      <c r="D255" s="59"/>
      <c r="I255" s="78"/>
    </row>
    <row r="256" ht="14.45" customHeight="1" spans="4:9">
      <c r="D256" s="59"/>
      <c r="I256" s="78"/>
    </row>
    <row r="257" ht="14.45" customHeight="1" spans="4:9">
      <c r="D257" s="59"/>
      <c r="I257" s="78"/>
    </row>
    <row r="258" ht="14.45" customHeight="1" spans="4:9">
      <c r="D258" s="59"/>
      <c r="I258" s="78"/>
    </row>
    <row r="259" ht="14.45" customHeight="1" spans="4:9">
      <c r="D259" s="59"/>
      <c r="I259" s="78"/>
    </row>
    <row r="260" ht="14.45" customHeight="1" spans="4:9">
      <c r="D260" s="59"/>
      <c r="I260" s="78"/>
    </row>
    <row r="261" ht="14.45" customHeight="1" spans="4:9">
      <c r="D261" s="59"/>
      <c r="I261" s="78"/>
    </row>
    <row r="262" ht="14.45" customHeight="1" spans="4:9">
      <c r="D262" s="59"/>
      <c r="I262" s="78"/>
    </row>
    <row r="263" ht="14.45" customHeight="1" spans="4:9">
      <c r="D263" s="59"/>
      <c r="I263" s="78"/>
    </row>
    <row r="264" ht="14.45" customHeight="1" spans="4:9">
      <c r="D264" s="59"/>
      <c r="I264" s="78"/>
    </row>
    <row r="265" ht="14.45" customHeight="1" spans="4:9">
      <c r="D265" s="59"/>
      <c r="I265" s="78"/>
    </row>
    <row r="266" ht="14.45" customHeight="1" spans="4:9">
      <c r="D266" s="59"/>
      <c r="I266" s="78"/>
    </row>
    <row r="267" ht="14.45" customHeight="1" spans="4:9">
      <c r="D267" s="59"/>
      <c r="I267" s="78"/>
    </row>
    <row r="268" ht="14.45" customHeight="1" spans="4:9">
      <c r="D268" s="59"/>
      <c r="I268" s="78"/>
    </row>
    <row r="269" ht="14.45" customHeight="1" spans="4:9">
      <c r="D269" s="59"/>
      <c r="I269" s="78"/>
    </row>
    <row r="270" ht="14.45" customHeight="1" spans="4:9">
      <c r="D270" s="59"/>
      <c r="I270" s="78"/>
    </row>
    <row r="271" ht="14.45" customHeight="1" spans="4:9">
      <c r="D271" s="59"/>
      <c r="I271" s="78"/>
    </row>
    <row r="272" ht="14.45" customHeight="1" spans="4:9">
      <c r="D272" s="59"/>
      <c r="I272" s="78"/>
    </row>
    <row r="273" ht="14.45" customHeight="1" spans="4:9">
      <c r="D273" s="59"/>
      <c r="I273" s="78"/>
    </row>
    <row r="274" ht="14.45" customHeight="1" spans="4:9">
      <c r="D274" s="59"/>
      <c r="I274" s="78"/>
    </row>
    <row r="275" ht="14.45" customHeight="1" spans="4:9">
      <c r="D275" s="59"/>
      <c r="I275" s="78"/>
    </row>
    <row r="276" ht="14.45" customHeight="1" spans="4:9">
      <c r="D276" s="59"/>
      <c r="I276" s="78"/>
    </row>
    <row r="277" ht="14.45" customHeight="1" spans="4:9">
      <c r="D277" s="59"/>
      <c r="I277" s="78"/>
    </row>
    <row r="278" ht="14.45" customHeight="1" spans="4:9">
      <c r="D278" s="59"/>
      <c r="I278" s="78"/>
    </row>
    <row r="279" ht="14.45" customHeight="1" spans="4:9">
      <c r="D279" s="59"/>
      <c r="I279" s="78"/>
    </row>
    <row r="280" ht="14.45" customHeight="1" spans="4:9">
      <c r="D280" s="59"/>
      <c r="I280" s="78"/>
    </row>
    <row r="281" ht="14.45" customHeight="1" spans="4:9">
      <c r="D281" s="59"/>
      <c r="I281" s="78"/>
    </row>
    <row r="282" ht="14.45" customHeight="1" spans="4:9">
      <c r="D282" s="59"/>
      <c r="I282" s="78"/>
    </row>
    <row r="283" ht="14.45" customHeight="1" spans="4:9">
      <c r="D283" s="59"/>
      <c r="I283" s="78"/>
    </row>
    <row r="284" ht="14.45" customHeight="1" spans="4:9">
      <c r="D284" s="59"/>
      <c r="I284" s="78"/>
    </row>
    <row r="285" ht="14.45" customHeight="1" spans="4:9">
      <c r="D285" s="59"/>
      <c r="I285" s="78"/>
    </row>
    <row r="286" ht="14.45" customHeight="1" spans="4:9">
      <c r="D286" s="59"/>
      <c r="I286" s="78"/>
    </row>
    <row r="287" ht="14.45" customHeight="1" spans="4:9">
      <c r="D287" s="59"/>
      <c r="I287" s="78"/>
    </row>
    <row r="288" ht="14.45" customHeight="1" spans="4:9">
      <c r="D288" s="59"/>
      <c r="I288" s="78"/>
    </row>
    <row r="289" ht="14.45" customHeight="1" spans="4:9">
      <c r="D289" s="59"/>
      <c r="I289" s="78"/>
    </row>
    <row r="290" ht="14.45" customHeight="1" spans="4:9">
      <c r="D290" s="59"/>
      <c r="I290" s="78"/>
    </row>
    <row r="291" ht="14.45" customHeight="1" spans="4:9">
      <c r="D291" s="59"/>
      <c r="I291" s="78"/>
    </row>
    <row r="292" ht="14.45" customHeight="1" spans="4:9">
      <c r="D292" s="59"/>
      <c r="I292" s="78"/>
    </row>
    <row r="293" ht="14.45" customHeight="1" spans="4:9">
      <c r="D293" s="59"/>
      <c r="I293" s="78"/>
    </row>
    <row r="294" ht="14.45" customHeight="1" spans="4:9">
      <c r="D294" s="59"/>
      <c r="I294" s="78"/>
    </row>
    <row r="295" ht="14.45" customHeight="1" spans="4:9">
      <c r="D295" s="59"/>
      <c r="I295" s="78"/>
    </row>
    <row r="296" ht="14.45" customHeight="1" spans="4:9">
      <c r="D296" s="59"/>
      <c r="I296" s="78"/>
    </row>
    <row r="297" ht="14.45" customHeight="1" spans="4:9">
      <c r="D297" s="59"/>
      <c r="I297" s="78"/>
    </row>
    <row r="298" ht="14.45" customHeight="1" spans="4:9">
      <c r="D298" s="59"/>
      <c r="I298" s="78"/>
    </row>
    <row r="299" ht="14.45" customHeight="1" spans="4:9">
      <c r="D299" s="59"/>
      <c r="I299" s="78"/>
    </row>
    <row r="300" ht="14.45" customHeight="1" spans="4:9">
      <c r="D300" s="59"/>
      <c r="I300" s="78"/>
    </row>
    <row r="301" ht="14.45" customHeight="1" spans="4:9">
      <c r="D301" s="59"/>
      <c r="I301" s="78"/>
    </row>
    <row r="302" ht="14.45" customHeight="1" spans="4:9">
      <c r="D302" s="59"/>
      <c r="I302" s="78"/>
    </row>
    <row r="303" ht="14.45" customHeight="1" spans="4:9">
      <c r="D303" s="59"/>
      <c r="I303" s="78"/>
    </row>
    <row r="304" ht="14.45" customHeight="1" spans="4:9">
      <c r="D304" s="59"/>
      <c r="I304" s="78"/>
    </row>
    <row r="305" ht="14.45" customHeight="1" spans="4:9">
      <c r="D305" s="59"/>
      <c r="I305" s="78"/>
    </row>
    <row r="306" ht="14.45" customHeight="1" spans="4:9">
      <c r="D306" s="59"/>
      <c r="I306" s="78"/>
    </row>
    <row r="307" ht="14.45" customHeight="1" spans="4:9">
      <c r="D307" s="59"/>
      <c r="I307" s="78"/>
    </row>
    <row r="308" ht="14.45" customHeight="1" spans="4:9">
      <c r="D308" s="59"/>
      <c r="I308" s="78"/>
    </row>
    <row r="309" ht="14.45" customHeight="1" spans="4:9">
      <c r="D309" s="59"/>
      <c r="I309" s="78"/>
    </row>
    <row r="310" ht="14.45" customHeight="1" spans="4:9">
      <c r="D310" s="59"/>
      <c r="I310" s="78"/>
    </row>
    <row r="311" ht="14.45" customHeight="1" spans="4:9">
      <c r="D311" s="59"/>
      <c r="I311" s="78"/>
    </row>
    <row r="312" ht="14.45" customHeight="1" spans="4:9">
      <c r="D312" s="59"/>
      <c r="I312" s="78"/>
    </row>
    <row r="313" ht="14.45" customHeight="1" spans="4:9">
      <c r="D313" s="59"/>
      <c r="I313" s="78"/>
    </row>
    <row r="314" ht="14.45" customHeight="1" spans="4:9">
      <c r="D314" s="59"/>
      <c r="I314" s="78"/>
    </row>
    <row r="315" ht="14.45" customHeight="1" spans="4:9">
      <c r="D315" s="59"/>
      <c r="I315" s="78"/>
    </row>
    <row r="316" ht="14.45" customHeight="1" spans="4:9">
      <c r="D316" s="59"/>
      <c r="I316" s="78"/>
    </row>
    <row r="317" ht="14.45" customHeight="1" spans="4:9">
      <c r="D317" s="59"/>
      <c r="I317" s="78"/>
    </row>
    <row r="318" ht="14.45" customHeight="1" spans="4:9">
      <c r="D318" s="59"/>
      <c r="I318" s="78"/>
    </row>
    <row r="319" ht="14.45" customHeight="1" spans="4:9">
      <c r="D319" s="59"/>
      <c r="I319" s="78"/>
    </row>
    <row r="320" ht="14.45" customHeight="1" spans="4:9">
      <c r="D320" s="59"/>
      <c r="I320" s="78"/>
    </row>
    <row r="321" ht="14.45" customHeight="1" spans="4:9">
      <c r="D321" s="59"/>
      <c r="I321" s="78"/>
    </row>
    <row r="322" ht="14.45" customHeight="1" spans="4:9">
      <c r="D322" s="59"/>
      <c r="I322" s="78"/>
    </row>
    <row r="323" ht="14.45" customHeight="1" spans="4:9">
      <c r="D323" s="59"/>
      <c r="I323" s="78"/>
    </row>
    <row r="324" ht="14.45" customHeight="1" spans="4:9">
      <c r="D324" s="59"/>
      <c r="I324" s="78"/>
    </row>
    <row r="325" ht="14.45" customHeight="1" spans="4:9">
      <c r="D325" s="59"/>
      <c r="I325" s="78"/>
    </row>
    <row r="326" ht="14.45" customHeight="1" spans="4:9">
      <c r="D326" s="59"/>
      <c r="I326" s="78"/>
    </row>
    <row r="327" ht="14.45" customHeight="1" spans="4:9">
      <c r="D327" s="59"/>
      <c r="I327" s="78"/>
    </row>
    <row r="328" ht="14.45" customHeight="1" spans="4:9">
      <c r="D328" s="59"/>
      <c r="I328" s="78"/>
    </row>
    <row r="329" ht="14.45" customHeight="1" spans="4:9">
      <c r="D329" s="59"/>
      <c r="I329" s="78"/>
    </row>
    <row r="330" ht="14.45" customHeight="1" spans="4:9">
      <c r="D330" s="59"/>
      <c r="I330" s="78"/>
    </row>
    <row r="331" ht="14.45" customHeight="1" spans="4:9">
      <c r="D331" s="59"/>
      <c r="I331" s="78"/>
    </row>
    <row r="332" ht="14.45" customHeight="1" spans="4:9">
      <c r="D332" s="59"/>
      <c r="I332" s="78"/>
    </row>
    <row r="333" ht="14.45" customHeight="1" spans="4:9">
      <c r="D333" s="59"/>
      <c r="I333" s="78"/>
    </row>
    <row r="334" ht="14.45" customHeight="1" spans="4:9">
      <c r="D334" s="59"/>
      <c r="I334" s="78"/>
    </row>
    <row r="335" ht="14.45" customHeight="1" spans="4:9">
      <c r="D335" s="59"/>
      <c r="I335" s="78"/>
    </row>
    <row r="336" ht="14.45" customHeight="1" spans="4:9">
      <c r="D336" s="59"/>
      <c r="I336" s="78"/>
    </row>
    <row r="337" ht="14.45" customHeight="1" spans="4:9">
      <c r="D337" s="59"/>
      <c r="I337" s="78"/>
    </row>
    <row r="338" ht="14.45" customHeight="1" spans="4:9">
      <c r="D338" s="59"/>
      <c r="I338" s="78"/>
    </row>
    <row r="339" ht="14.45" customHeight="1" spans="4:9">
      <c r="D339" s="59"/>
      <c r="I339" s="78"/>
    </row>
    <row r="340" ht="14.45" customHeight="1" spans="4:9">
      <c r="D340" s="59"/>
      <c r="I340" s="78"/>
    </row>
    <row r="341" ht="14.45" customHeight="1" spans="4:9">
      <c r="D341" s="59"/>
      <c r="I341" s="78"/>
    </row>
    <row r="342" ht="14.45" customHeight="1" spans="4:9">
      <c r="D342" s="59"/>
      <c r="I342" s="78"/>
    </row>
    <row r="343" ht="14.45" customHeight="1" spans="4:9">
      <c r="D343" s="59"/>
      <c r="I343" s="78"/>
    </row>
    <row r="344" ht="14.45" customHeight="1" spans="4:9">
      <c r="D344" s="59"/>
      <c r="I344" s="78"/>
    </row>
    <row r="345" ht="14.45" customHeight="1" spans="4:9">
      <c r="D345" s="59"/>
      <c r="I345" s="78"/>
    </row>
    <row r="346" ht="14.45" customHeight="1" spans="4:9">
      <c r="D346" s="59"/>
      <c r="I346" s="78"/>
    </row>
    <row r="347" ht="14.45" customHeight="1" spans="4:9">
      <c r="D347" s="59"/>
      <c r="I347" s="78"/>
    </row>
    <row r="348" ht="14.45" customHeight="1" spans="4:9">
      <c r="D348" s="59"/>
      <c r="I348" s="78"/>
    </row>
    <row r="349" ht="14.45" customHeight="1" spans="4:9">
      <c r="D349" s="59"/>
      <c r="I349" s="78"/>
    </row>
    <row r="350" ht="14.45" customHeight="1" spans="4:9">
      <c r="D350" s="59"/>
      <c r="I350" s="78"/>
    </row>
    <row r="351" ht="14.45" customHeight="1" spans="4:9">
      <c r="D351" s="59"/>
      <c r="I351" s="78"/>
    </row>
    <row r="352" ht="14.45" customHeight="1" spans="4:9">
      <c r="D352" s="59"/>
      <c r="I352" s="78"/>
    </row>
    <row r="353" ht="14.45" customHeight="1" spans="4:9">
      <c r="D353" s="59"/>
      <c r="I353" s="78"/>
    </row>
    <row r="354" ht="14.45" customHeight="1" spans="4:9">
      <c r="D354" s="59"/>
      <c r="I354" s="78"/>
    </row>
    <row r="355" ht="14.45" customHeight="1" spans="4:9">
      <c r="D355" s="59"/>
      <c r="I355" s="78"/>
    </row>
    <row r="356" ht="14.45" customHeight="1" spans="4:9">
      <c r="D356" s="59"/>
      <c r="I356" s="78"/>
    </row>
    <row r="357" ht="14.45" customHeight="1" spans="4:9">
      <c r="D357" s="59"/>
      <c r="I357" s="78"/>
    </row>
    <row r="358" ht="14.45" customHeight="1" spans="4:9">
      <c r="D358" s="59"/>
      <c r="I358" s="78"/>
    </row>
    <row r="359" ht="14.45" customHeight="1" spans="4:9">
      <c r="D359" s="59"/>
      <c r="I359" s="78"/>
    </row>
    <row r="360" ht="14.45" customHeight="1" spans="4:9">
      <c r="D360" s="59"/>
      <c r="I360" s="78"/>
    </row>
    <row r="361" ht="14.45" customHeight="1" spans="4:9">
      <c r="D361" s="59"/>
      <c r="I361" s="78"/>
    </row>
    <row r="362" ht="14.45" customHeight="1" spans="4:9">
      <c r="D362" s="59"/>
      <c r="I362" s="78"/>
    </row>
    <row r="363" ht="14.45" customHeight="1" spans="4:9">
      <c r="D363" s="59"/>
      <c r="I363" s="78"/>
    </row>
    <row r="364" ht="14.45" customHeight="1" spans="4:9">
      <c r="D364" s="59"/>
      <c r="I364" s="78"/>
    </row>
    <row r="365" ht="14.45" customHeight="1" spans="4:9">
      <c r="D365" s="59"/>
      <c r="I365" s="78"/>
    </row>
    <row r="366" ht="14.45" customHeight="1" spans="4:9">
      <c r="D366" s="59"/>
      <c r="I366" s="78"/>
    </row>
    <row r="367" ht="14.45" customHeight="1" spans="4:9">
      <c r="D367" s="59"/>
      <c r="I367" s="78"/>
    </row>
    <row r="368" ht="14.45" customHeight="1" spans="4:9">
      <c r="D368" s="59"/>
      <c r="I368" s="78"/>
    </row>
    <row r="369" ht="14.45" customHeight="1" spans="4:9">
      <c r="D369" s="59"/>
      <c r="I369" s="78"/>
    </row>
    <row r="370" ht="14.45" customHeight="1" spans="4:9">
      <c r="D370" s="59"/>
      <c r="I370" s="78"/>
    </row>
    <row r="371" ht="14.45" customHeight="1" spans="4:9">
      <c r="D371" s="59"/>
      <c r="I371" s="78"/>
    </row>
    <row r="372" ht="14.45" customHeight="1" spans="4:9">
      <c r="D372" s="59"/>
      <c r="I372" s="78"/>
    </row>
    <row r="373" ht="14.45" customHeight="1" spans="4:9">
      <c r="D373" s="59"/>
      <c r="I373" s="78"/>
    </row>
    <row r="374" ht="14.45" customHeight="1" spans="4:9">
      <c r="D374" s="59"/>
      <c r="I374" s="78"/>
    </row>
    <row r="375" ht="14.45" customHeight="1" spans="4:9">
      <c r="D375" s="59"/>
      <c r="I375" s="78"/>
    </row>
    <row r="376" ht="14.45" customHeight="1" spans="4:9">
      <c r="D376" s="59"/>
      <c r="I376" s="78"/>
    </row>
    <row r="377" ht="14.45" customHeight="1" spans="4:9">
      <c r="D377" s="59"/>
      <c r="I377" s="78"/>
    </row>
    <row r="378" ht="14.45" customHeight="1" spans="4:9">
      <c r="D378" s="59"/>
      <c r="I378" s="78"/>
    </row>
    <row r="379" ht="14.45" customHeight="1" spans="4:9">
      <c r="D379" s="59"/>
      <c r="I379" s="78"/>
    </row>
    <row r="380" ht="14.45" customHeight="1" spans="4:9">
      <c r="D380" s="59"/>
      <c r="I380" s="78"/>
    </row>
    <row r="381" ht="14.45" customHeight="1" spans="4:9">
      <c r="D381" s="59"/>
      <c r="I381" s="78"/>
    </row>
    <row r="382" ht="14.45" customHeight="1" spans="4:9">
      <c r="D382" s="59"/>
      <c r="I382" s="78"/>
    </row>
    <row r="383" ht="14.45" customHeight="1" spans="4:9">
      <c r="D383" s="59"/>
      <c r="I383" s="78"/>
    </row>
    <row r="384" ht="14.45" customHeight="1" spans="4:9">
      <c r="D384" s="59"/>
      <c r="I384" s="78"/>
    </row>
    <row r="385" ht="14.45" customHeight="1" spans="4:9">
      <c r="D385" s="59"/>
      <c r="I385" s="78"/>
    </row>
    <row r="386" ht="14.45" customHeight="1" spans="4:9">
      <c r="D386" s="59"/>
      <c r="I386" s="78"/>
    </row>
    <row r="387" ht="14.45" customHeight="1" spans="4:9">
      <c r="D387" s="59"/>
      <c r="I387" s="78"/>
    </row>
    <row r="388" ht="14.45" customHeight="1" spans="4:9">
      <c r="D388" s="59"/>
      <c r="I388" s="78"/>
    </row>
    <row r="389" ht="14.45" customHeight="1" spans="4:9">
      <c r="D389" s="59"/>
      <c r="I389" s="78"/>
    </row>
    <row r="390" ht="14.45" customHeight="1" spans="4:9">
      <c r="D390" s="59"/>
      <c r="I390" s="78"/>
    </row>
    <row r="391" ht="14.45" customHeight="1" spans="4:9">
      <c r="D391" s="59"/>
      <c r="I391" s="78"/>
    </row>
    <row r="392" ht="14.45" customHeight="1" spans="4:9">
      <c r="D392" s="59"/>
      <c r="I392" s="78"/>
    </row>
    <row r="393" ht="14.45" customHeight="1" spans="4:9">
      <c r="D393" s="59"/>
      <c r="I393" s="78"/>
    </row>
    <row r="394" ht="14.45" customHeight="1" spans="4:9">
      <c r="D394" s="59"/>
      <c r="I394" s="78"/>
    </row>
    <row r="395" ht="14.45" customHeight="1" spans="4:9">
      <c r="D395" s="59"/>
      <c r="I395" s="78"/>
    </row>
    <row r="396" ht="14.45" customHeight="1" spans="4:9">
      <c r="D396" s="59"/>
      <c r="I396" s="78"/>
    </row>
    <row r="397" ht="14.45" customHeight="1" spans="4:9">
      <c r="D397" s="59"/>
      <c r="I397" s="78"/>
    </row>
    <row r="398" ht="14.45" customHeight="1" spans="4:9">
      <c r="D398" s="59"/>
      <c r="I398" s="78"/>
    </row>
    <row r="399" ht="14.45" customHeight="1" spans="4:9">
      <c r="D399" s="59"/>
      <c r="I399" s="78"/>
    </row>
    <row r="400" ht="14.45" customHeight="1" spans="4:9">
      <c r="D400" s="59"/>
      <c r="I400" s="78"/>
    </row>
    <row r="401" ht="14.45" customHeight="1" spans="4:9">
      <c r="D401" s="59"/>
      <c r="I401" s="78"/>
    </row>
    <row r="402" ht="14.45" customHeight="1" spans="4:9">
      <c r="D402" s="59"/>
      <c r="I402" s="78"/>
    </row>
    <row r="403" ht="14.45" customHeight="1" spans="4:9">
      <c r="D403" s="59"/>
      <c r="I403" s="78"/>
    </row>
    <row r="404" ht="14.45" customHeight="1" spans="4:9">
      <c r="D404" s="59"/>
      <c r="I404" s="78"/>
    </row>
    <row r="405" ht="14.45" customHeight="1" spans="4:9">
      <c r="D405" s="59"/>
      <c r="I405" s="78"/>
    </row>
    <row r="406" ht="14.45" customHeight="1" spans="4:9">
      <c r="D406" s="59"/>
      <c r="I406" s="78"/>
    </row>
    <row r="407" ht="14.45" customHeight="1" spans="4:9">
      <c r="D407" s="59"/>
      <c r="I407" s="78"/>
    </row>
    <row r="408" ht="14.45" customHeight="1" spans="4:9">
      <c r="D408" s="59"/>
      <c r="I408" s="78"/>
    </row>
    <row r="409" ht="14.45" customHeight="1" spans="4:9">
      <c r="D409" s="59"/>
      <c r="I409" s="78"/>
    </row>
    <row r="410" ht="14.45" customHeight="1" spans="4:9">
      <c r="D410" s="59"/>
      <c r="I410" s="78"/>
    </row>
    <row r="411" ht="14.45" customHeight="1" spans="4:9">
      <c r="D411" s="59"/>
      <c r="I411" s="78"/>
    </row>
    <row r="412" ht="14.45" customHeight="1" spans="4:9">
      <c r="D412" s="59"/>
      <c r="I412" s="78"/>
    </row>
    <row r="413" ht="14.45" customHeight="1" spans="4:9">
      <c r="D413" s="59"/>
      <c r="I413" s="78"/>
    </row>
    <row r="414" ht="14.45" customHeight="1" spans="4:9">
      <c r="D414" s="59"/>
      <c r="I414" s="78"/>
    </row>
    <row r="415" ht="14.45" customHeight="1" spans="4:9">
      <c r="D415" s="59"/>
      <c r="I415" s="78"/>
    </row>
    <row r="416" ht="14.45" customHeight="1" spans="4:9">
      <c r="D416" s="59"/>
      <c r="I416" s="78"/>
    </row>
    <row r="417" ht="14.45" customHeight="1" spans="4:9">
      <c r="D417" s="59"/>
      <c r="I417" s="78"/>
    </row>
    <row r="418" ht="14.45" customHeight="1" spans="4:9">
      <c r="D418" s="59"/>
      <c r="I418" s="78"/>
    </row>
    <row r="419" ht="14.45" customHeight="1" spans="4:9">
      <c r="D419" s="59"/>
      <c r="I419" s="78"/>
    </row>
    <row r="420" ht="14.45" customHeight="1" spans="4:9">
      <c r="D420" s="59"/>
      <c r="I420" s="78"/>
    </row>
    <row r="421" ht="14.45" customHeight="1" spans="4:9">
      <c r="D421" s="59"/>
      <c r="I421" s="78"/>
    </row>
    <row r="422" ht="14.45" customHeight="1" spans="4:9">
      <c r="D422" s="59"/>
      <c r="I422" s="78"/>
    </row>
    <row r="423" ht="14.45" customHeight="1" spans="4:9">
      <c r="D423" s="59"/>
      <c r="I423" s="78"/>
    </row>
    <row r="424" ht="14.45" customHeight="1" spans="4:9">
      <c r="D424" s="59"/>
      <c r="I424" s="78"/>
    </row>
    <row r="425" ht="14.45" customHeight="1" spans="4:9">
      <c r="D425" s="59"/>
      <c r="I425" s="78"/>
    </row>
    <row r="426" ht="14.45" customHeight="1" spans="4:9">
      <c r="D426" s="59"/>
      <c r="I426" s="78"/>
    </row>
    <row r="427" ht="14.45" customHeight="1" spans="4:9">
      <c r="D427" s="59"/>
      <c r="I427" s="78"/>
    </row>
    <row r="428" ht="14.45" customHeight="1" spans="4:9">
      <c r="D428" s="59"/>
      <c r="I428" s="78"/>
    </row>
    <row r="429" ht="14.45" customHeight="1" spans="4:9">
      <c r="D429" s="59"/>
      <c r="I429" s="78"/>
    </row>
    <row r="430" ht="14.45" customHeight="1" spans="4:9">
      <c r="D430" s="59"/>
      <c r="I430" s="78"/>
    </row>
    <row r="431" ht="14.45" customHeight="1" spans="4:9">
      <c r="D431" s="59"/>
      <c r="I431" s="78"/>
    </row>
    <row r="432" ht="14.45" customHeight="1" spans="4:9">
      <c r="D432" s="59"/>
      <c r="I432" s="78"/>
    </row>
    <row r="433" ht="14.45" customHeight="1" spans="4:9">
      <c r="D433" s="59"/>
      <c r="I433" s="78"/>
    </row>
    <row r="434" ht="14.45" customHeight="1" spans="4:9">
      <c r="D434" s="59"/>
      <c r="I434" s="78"/>
    </row>
    <row r="435" ht="14.45" customHeight="1" spans="4:9">
      <c r="D435" s="59"/>
      <c r="I435" s="78"/>
    </row>
    <row r="436" ht="14.45" customHeight="1" spans="4:9">
      <c r="D436" s="59"/>
      <c r="I436" s="78"/>
    </row>
    <row r="437" ht="14.45" customHeight="1" spans="4:9">
      <c r="D437" s="59"/>
      <c r="I437" s="78"/>
    </row>
    <row r="438" ht="14.45" customHeight="1" spans="4:9">
      <c r="D438" s="59"/>
      <c r="I438" s="78"/>
    </row>
    <row r="439" ht="14.45" customHeight="1" spans="4:9">
      <c r="D439" s="59"/>
      <c r="I439" s="78"/>
    </row>
    <row r="440" ht="14.45" customHeight="1" spans="4:9">
      <c r="D440" s="59"/>
      <c r="I440" s="78"/>
    </row>
    <row r="441" ht="14.45" customHeight="1" spans="4:9">
      <c r="D441" s="59"/>
      <c r="I441" s="78"/>
    </row>
    <row r="442" ht="14.45" customHeight="1" spans="4:9">
      <c r="D442" s="59"/>
      <c r="I442" s="78"/>
    </row>
    <row r="443" ht="14.45" customHeight="1" spans="4:9">
      <c r="D443" s="59"/>
      <c r="I443" s="78"/>
    </row>
    <row r="444" ht="14.45" customHeight="1" spans="4:9">
      <c r="D444" s="59"/>
      <c r="I444" s="78"/>
    </row>
    <row r="445" ht="14.45" customHeight="1" spans="4:9">
      <c r="D445" s="59"/>
      <c r="I445" s="78"/>
    </row>
    <row r="446" ht="14.45" customHeight="1" spans="4:9">
      <c r="D446" s="59"/>
      <c r="I446" s="78"/>
    </row>
    <row r="447" ht="14.45" customHeight="1" spans="4:9">
      <c r="D447" s="59"/>
      <c r="I447" s="78"/>
    </row>
    <row r="448" ht="14.45" customHeight="1" spans="4:9">
      <c r="D448" s="59"/>
      <c r="I448" s="78"/>
    </row>
    <row r="449" ht="14.45" customHeight="1" spans="4:9">
      <c r="D449" s="59"/>
      <c r="I449" s="78"/>
    </row>
    <row r="450" ht="14.45" customHeight="1" spans="4:9">
      <c r="D450" s="59"/>
      <c r="I450" s="78"/>
    </row>
    <row r="451" ht="14.45" customHeight="1" spans="4:9">
      <c r="D451" s="59"/>
      <c r="I451" s="78"/>
    </row>
    <row r="452" ht="14.45" customHeight="1" spans="4:9">
      <c r="D452" s="59"/>
      <c r="I452" s="78"/>
    </row>
    <row r="453" ht="14.45" customHeight="1" spans="4:9">
      <c r="D453" s="59"/>
      <c r="I453" s="78"/>
    </row>
    <row r="454" ht="14.45" customHeight="1" spans="4:9">
      <c r="D454" s="59"/>
      <c r="I454" s="78"/>
    </row>
    <row r="455" ht="14.45" customHeight="1" spans="4:9">
      <c r="D455" s="59"/>
      <c r="I455" s="78"/>
    </row>
    <row r="456" ht="14.45" customHeight="1" spans="4:9">
      <c r="D456" s="59"/>
      <c r="I456" s="78"/>
    </row>
    <row r="457" ht="14.45" customHeight="1" spans="4:9">
      <c r="D457" s="59"/>
      <c r="I457" s="78"/>
    </row>
    <row r="458" ht="14.45" customHeight="1" spans="4:9">
      <c r="D458" s="59"/>
      <c r="I458" s="78"/>
    </row>
    <row r="459" ht="14.45" customHeight="1" spans="4:9">
      <c r="D459" s="59"/>
      <c r="I459" s="78"/>
    </row>
    <row r="460" ht="14.45" customHeight="1" spans="4:9">
      <c r="D460" s="59"/>
      <c r="I460" s="78"/>
    </row>
    <row r="461" ht="14.45" customHeight="1" spans="4:9">
      <c r="D461" s="59"/>
      <c r="I461" s="78"/>
    </row>
    <row r="462" ht="14.45" customHeight="1" spans="4:9">
      <c r="D462" s="59"/>
      <c r="I462" s="78"/>
    </row>
    <row r="463" ht="14.45" customHeight="1" spans="4:9">
      <c r="D463" s="59"/>
      <c r="I463" s="78"/>
    </row>
    <row r="464" ht="14.45" customHeight="1" spans="4:9">
      <c r="D464" s="59"/>
      <c r="I464" s="78"/>
    </row>
    <row r="465" ht="14.45" customHeight="1" spans="4:9">
      <c r="D465" s="59"/>
      <c r="I465" s="78"/>
    </row>
    <row r="466" ht="14.45" customHeight="1" spans="4:9">
      <c r="D466" s="59"/>
      <c r="I466" s="78"/>
    </row>
    <row r="467" ht="14.45" customHeight="1" spans="4:9">
      <c r="D467" s="59"/>
      <c r="I467" s="78"/>
    </row>
    <row r="468" ht="14.45" customHeight="1" spans="4:9">
      <c r="D468" s="59"/>
      <c r="I468" s="78"/>
    </row>
    <row r="469" ht="14.45" customHeight="1" spans="4:9">
      <c r="D469" s="59"/>
      <c r="I469" s="78"/>
    </row>
    <row r="470" ht="14.45" customHeight="1" spans="4:9">
      <c r="D470" s="59"/>
      <c r="I470" s="78"/>
    </row>
    <row r="471" ht="14.45" customHeight="1" spans="4:9">
      <c r="D471" s="59"/>
      <c r="I471" s="78"/>
    </row>
    <row r="472" ht="14.45" customHeight="1" spans="4:9">
      <c r="D472" s="59"/>
      <c r="I472" s="78"/>
    </row>
    <row r="473" ht="14.45" customHeight="1" spans="4:9">
      <c r="D473" s="59"/>
      <c r="I473" s="78"/>
    </row>
    <row r="474" ht="14.45" customHeight="1" spans="4:9">
      <c r="D474" s="59"/>
      <c r="I474" s="78"/>
    </row>
    <row r="475" ht="14.45" customHeight="1" spans="4:9">
      <c r="D475" s="59"/>
      <c r="I475" s="78"/>
    </row>
    <row r="476" ht="14.45" customHeight="1" spans="4:9">
      <c r="D476" s="59"/>
      <c r="I476" s="78"/>
    </row>
    <row r="477" ht="14.45" customHeight="1" spans="4:9">
      <c r="D477" s="59"/>
      <c r="I477" s="78"/>
    </row>
    <row r="478" ht="14.45" customHeight="1" spans="4:9">
      <c r="D478" s="59"/>
      <c r="I478" s="78"/>
    </row>
    <row r="479" ht="14.45" customHeight="1" spans="4:9">
      <c r="D479" s="59"/>
      <c r="I479" s="78"/>
    </row>
    <row r="480" ht="14.45" customHeight="1" spans="4:9">
      <c r="D480" s="59"/>
      <c r="I480" s="78"/>
    </row>
    <row r="481" ht="14.45" customHeight="1" spans="4:9">
      <c r="D481" s="59"/>
      <c r="I481" s="78"/>
    </row>
    <row r="482" ht="14.45" customHeight="1" spans="4:9">
      <c r="D482" s="59"/>
      <c r="I482" s="78"/>
    </row>
    <row r="483" ht="14.45" customHeight="1" spans="4:9">
      <c r="D483" s="59"/>
      <c r="I483" s="78"/>
    </row>
    <row r="484" ht="14.45" customHeight="1" spans="4:9">
      <c r="D484" s="59"/>
      <c r="I484" s="78"/>
    </row>
    <row r="485" ht="14.45" customHeight="1" spans="4:9">
      <c r="D485" s="59"/>
      <c r="I485" s="78"/>
    </row>
    <row r="486" ht="14.45" customHeight="1" spans="4:9">
      <c r="D486" s="59"/>
      <c r="I486" s="78"/>
    </row>
    <row r="487" ht="14.45" customHeight="1" spans="4:9">
      <c r="D487" s="59"/>
      <c r="I487" s="78"/>
    </row>
    <row r="488" ht="14.45" customHeight="1" spans="4:9">
      <c r="D488" s="59"/>
      <c r="I488" s="78"/>
    </row>
    <row r="489" ht="14.45" customHeight="1" spans="4:9">
      <c r="D489" s="59"/>
      <c r="I489" s="78"/>
    </row>
    <row r="490" ht="14.45" customHeight="1" spans="4:9">
      <c r="D490" s="59"/>
      <c r="I490" s="78"/>
    </row>
    <row r="491" ht="14.45" customHeight="1" spans="4:9">
      <c r="D491" s="59"/>
      <c r="I491" s="78"/>
    </row>
    <row r="492" ht="14.45" customHeight="1" spans="4:9">
      <c r="D492" s="59"/>
      <c r="I492" s="78"/>
    </row>
    <row r="493" ht="14.45" customHeight="1" spans="4:9">
      <c r="D493" s="59"/>
      <c r="I493" s="78"/>
    </row>
    <row r="494" ht="14.45" customHeight="1" spans="4:9">
      <c r="D494" s="59"/>
      <c r="I494" s="78"/>
    </row>
    <row r="495" ht="14.45" customHeight="1" spans="4:9">
      <c r="D495" s="59"/>
      <c r="I495" s="78"/>
    </row>
    <row r="496" ht="14.45" customHeight="1" spans="4:9">
      <c r="D496" s="59"/>
      <c r="I496" s="78"/>
    </row>
    <row r="497" ht="14.45" customHeight="1" spans="4:9">
      <c r="D497" s="59"/>
      <c r="I497" s="78"/>
    </row>
    <row r="498" ht="14.45" customHeight="1" spans="4:9">
      <c r="D498" s="59"/>
      <c r="I498" s="78"/>
    </row>
    <row r="499" ht="14.45" customHeight="1" spans="4:9">
      <c r="D499" s="59"/>
      <c r="I499" s="78"/>
    </row>
    <row r="500" ht="14.45" customHeight="1" spans="4:9">
      <c r="D500" s="59"/>
      <c r="I500" s="78"/>
    </row>
    <row r="501" ht="14.45" customHeight="1" spans="4:9">
      <c r="D501" s="59"/>
      <c r="I501" s="78"/>
    </row>
    <row r="502" ht="14.45" customHeight="1" spans="4:9">
      <c r="D502" s="59"/>
      <c r="I502" s="78"/>
    </row>
    <row r="503" ht="14.45" customHeight="1" spans="4:9">
      <c r="D503" s="59"/>
      <c r="I503" s="78"/>
    </row>
    <row r="504" ht="14.45" customHeight="1" spans="4:9">
      <c r="D504" s="59"/>
      <c r="I504" s="78"/>
    </row>
    <row r="505" ht="14.45" customHeight="1" spans="4:9">
      <c r="D505" s="59"/>
      <c r="I505" s="78"/>
    </row>
    <row r="506" ht="14.45" customHeight="1" spans="4:9">
      <c r="D506" s="59"/>
      <c r="I506" s="78"/>
    </row>
    <row r="507" ht="14.45" customHeight="1" spans="4:9">
      <c r="D507" s="59"/>
      <c r="I507" s="78"/>
    </row>
    <row r="508" ht="14.45" customHeight="1" spans="4:9">
      <c r="D508" s="59"/>
      <c r="I508" s="78"/>
    </row>
    <row r="509" ht="14.45" customHeight="1" spans="4:9">
      <c r="D509" s="59"/>
      <c r="I509" s="78"/>
    </row>
    <row r="510" ht="14.45" customHeight="1" spans="4:9">
      <c r="D510" s="59"/>
      <c r="I510" s="78"/>
    </row>
    <row r="511" ht="14.45" customHeight="1" spans="4:9">
      <c r="D511" s="59"/>
      <c r="I511" s="78"/>
    </row>
    <row r="512" ht="14.45" customHeight="1" spans="4:9">
      <c r="D512" s="59"/>
      <c r="I512" s="78"/>
    </row>
    <row r="513" ht="14.45" customHeight="1" spans="4:9">
      <c r="D513" s="59"/>
      <c r="I513" s="78"/>
    </row>
    <row r="514" ht="14.45" customHeight="1" spans="4:9">
      <c r="D514" s="59"/>
      <c r="I514" s="78"/>
    </row>
    <row r="515" ht="14.45" customHeight="1" spans="4:9">
      <c r="D515" s="59"/>
      <c r="I515" s="78"/>
    </row>
    <row r="516" ht="14.45" customHeight="1" spans="4:9">
      <c r="D516" s="59"/>
      <c r="I516" s="78"/>
    </row>
    <row r="517" ht="14.45" customHeight="1" spans="4:9">
      <c r="D517" s="59"/>
      <c r="I517" s="78"/>
    </row>
    <row r="518" ht="14.45" customHeight="1" spans="4:9">
      <c r="D518" s="59"/>
      <c r="I518" s="78"/>
    </row>
    <row r="519" ht="14.45" customHeight="1" spans="4:9">
      <c r="D519" s="59"/>
      <c r="I519" s="78"/>
    </row>
    <row r="520" ht="14.45" customHeight="1" spans="4:9">
      <c r="D520" s="59"/>
      <c r="I520" s="78"/>
    </row>
    <row r="521" ht="14.45" customHeight="1" spans="4:9">
      <c r="D521" s="59"/>
      <c r="I521" s="78"/>
    </row>
    <row r="522" ht="14.45" customHeight="1" spans="4:9">
      <c r="D522" s="59"/>
      <c r="I522" s="78"/>
    </row>
    <row r="523" ht="14.45" customHeight="1" spans="4:9">
      <c r="D523" s="59"/>
      <c r="I523" s="78"/>
    </row>
    <row r="524" ht="14.45" customHeight="1" spans="4:9">
      <c r="D524" s="59"/>
      <c r="I524" s="78"/>
    </row>
    <row r="525" ht="14.45" customHeight="1" spans="4:9">
      <c r="D525" s="59"/>
      <c r="I525" s="78"/>
    </row>
    <row r="526" ht="14.45" customHeight="1" spans="4:9">
      <c r="D526" s="59"/>
      <c r="I526" s="78"/>
    </row>
    <row r="527" ht="14.45" customHeight="1" spans="4:9">
      <c r="D527" s="59"/>
      <c r="I527" s="78"/>
    </row>
    <row r="528" ht="14.45" customHeight="1" spans="4:9">
      <c r="D528" s="59"/>
      <c r="I528" s="78"/>
    </row>
    <row r="529" ht="14.45" customHeight="1" spans="4:9">
      <c r="D529" s="59"/>
      <c r="I529" s="78"/>
    </row>
    <row r="530" ht="14.45" customHeight="1" spans="4:9">
      <c r="D530" s="59"/>
      <c r="I530" s="78"/>
    </row>
    <row r="531" ht="14.45" customHeight="1" spans="4:9">
      <c r="D531" s="59"/>
      <c r="I531" s="78"/>
    </row>
    <row r="532" ht="14.45" customHeight="1" spans="4:9">
      <c r="D532" s="59"/>
      <c r="I532" s="78"/>
    </row>
    <row r="533" ht="14.45" customHeight="1" spans="4:9">
      <c r="D533" s="59"/>
      <c r="I533" s="78"/>
    </row>
    <row r="534" ht="14.45" customHeight="1" spans="4:9">
      <c r="D534" s="59"/>
      <c r="I534" s="78"/>
    </row>
    <row r="535" ht="14.45" customHeight="1" spans="4:9">
      <c r="D535" s="59"/>
      <c r="I535" s="78"/>
    </row>
    <row r="536" ht="14.45" customHeight="1" spans="4:9">
      <c r="D536" s="59"/>
      <c r="I536" s="78"/>
    </row>
    <row r="537" ht="14.45" customHeight="1" spans="4:9">
      <c r="D537" s="59"/>
      <c r="I537" s="78"/>
    </row>
    <row r="538" ht="14.45" customHeight="1" spans="4:9">
      <c r="D538" s="59"/>
      <c r="I538" s="78"/>
    </row>
    <row r="539" ht="14.45" customHeight="1" spans="4:9">
      <c r="D539" s="59"/>
      <c r="I539" s="78"/>
    </row>
    <row r="540" ht="14.45" customHeight="1" spans="4:9">
      <c r="D540" s="59"/>
      <c r="I540" s="78"/>
    </row>
    <row r="541" ht="14.45" customHeight="1" spans="4:9">
      <c r="D541" s="59"/>
      <c r="I541" s="78"/>
    </row>
    <row r="542" ht="14.45" customHeight="1" spans="4:9">
      <c r="D542" s="59"/>
      <c r="I542" s="78"/>
    </row>
    <row r="543" ht="14.45" customHeight="1" spans="4:9">
      <c r="D543" s="59"/>
      <c r="I543" s="78"/>
    </row>
    <row r="544" ht="14.45" customHeight="1" spans="4:9">
      <c r="D544" s="59"/>
      <c r="I544" s="78"/>
    </row>
    <row r="545" ht="14.45" customHeight="1" spans="4:9">
      <c r="D545" s="59"/>
      <c r="I545" s="78"/>
    </row>
    <row r="546" ht="14.45" customHeight="1" spans="4:9">
      <c r="D546" s="59"/>
      <c r="I546" s="78"/>
    </row>
    <row r="547" ht="14.45" customHeight="1" spans="4:9">
      <c r="D547" s="59"/>
      <c r="I547" s="78"/>
    </row>
    <row r="548" ht="14.45" customHeight="1" spans="4:9">
      <c r="D548" s="59"/>
      <c r="I548" s="78"/>
    </row>
    <row r="549" ht="14.45" customHeight="1" spans="4:9">
      <c r="D549" s="59"/>
      <c r="I549" s="78"/>
    </row>
    <row r="550" ht="14.45" customHeight="1" spans="4:9">
      <c r="D550" s="59"/>
      <c r="I550" s="78"/>
    </row>
    <row r="551" ht="14.45" customHeight="1" spans="4:9">
      <c r="D551" s="59"/>
      <c r="I551" s="78"/>
    </row>
    <row r="552" ht="14.45" customHeight="1" spans="4:9">
      <c r="D552" s="59"/>
      <c r="I552" s="78"/>
    </row>
    <row r="553" ht="14.45" customHeight="1" spans="4:9">
      <c r="D553" s="59"/>
      <c r="I553" s="78"/>
    </row>
    <row r="554" ht="14.45" customHeight="1" spans="4:9">
      <c r="D554" s="59"/>
      <c r="I554" s="78"/>
    </row>
    <row r="555" ht="14.45" customHeight="1" spans="4:9">
      <c r="D555" s="59"/>
      <c r="I555" s="78"/>
    </row>
    <row r="556" ht="14.45" customHeight="1" spans="4:9">
      <c r="D556" s="59"/>
      <c r="I556" s="78"/>
    </row>
    <row r="557" ht="14.45" customHeight="1" spans="4:9">
      <c r="D557" s="59"/>
      <c r="I557" s="78"/>
    </row>
    <row r="558" ht="14.45" customHeight="1" spans="4:9">
      <c r="D558" s="59"/>
      <c r="I558" s="78"/>
    </row>
    <row r="559" ht="14.45" customHeight="1" spans="4:9">
      <c r="D559" s="59"/>
      <c r="I559" s="78"/>
    </row>
    <row r="560" ht="14.45" customHeight="1" spans="4:9">
      <c r="D560" s="59"/>
      <c r="I560" s="78"/>
    </row>
    <row r="561" ht="14.45" customHeight="1" spans="4:9">
      <c r="D561" s="59"/>
      <c r="I561" s="78"/>
    </row>
    <row r="562" ht="14.45" customHeight="1" spans="4:9">
      <c r="D562" s="59"/>
      <c r="I562" s="78"/>
    </row>
    <row r="563" ht="14.45" customHeight="1" spans="4:9">
      <c r="D563" s="59"/>
      <c r="I563" s="78"/>
    </row>
    <row r="564" ht="14.45" customHeight="1" spans="4:9">
      <c r="D564" s="59"/>
      <c r="I564" s="78"/>
    </row>
    <row r="565" ht="14.45" customHeight="1" spans="4:9">
      <c r="D565" s="59"/>
      <c r="I565" s="78"/>
    </row>
    <row r="566" ht="14.45" customHeight="1" spans="4:9">
      <c r="D566" s="59"/>
      <c r="I566" s="78"/>
    </row>
    <row r="567" ht="14.45" customHeight="1" spans="4:9">
      <c r="D567" s="59"/>
      <c r="I567" s="78"/>
    </row>
    <row r="568" ht="14.45" customHeight="1" spans="4:9">
      <c r="D568" s="59"/>
      <c r="I568" s="78"/>
    </row>
    <row r="569" ht="14.45" customHeight="1" spans="4:9">
      <c r="D569" s="59"/>
      <c r="I569" s="78"/>
    </row>
    <row r="570" ht="14.45" customHeight="1" spans="4:9">
      <c r="D570" s="59"/>
      <c r="I570" s="78"/>
    </row>
    <row r="571" ht="14.45" customHeight="1" spans="4:9">
      <c r="D571" s="59"/>
      <c r="I571" s="78"/>
    </row>
    <row r="572" ht="14.45" customHeight="1" spans="4:9">
      <c r="D572" s="59"/>
      <c r="I572" s="78"/>
    </row>
    <row r="573" ht="14.45" customHeight="1" spans="4:9">
      <c r="D573" s="59"/>
      <c r="I573" s="78"/>
    </row>
    <row r="574" ht="14.45" customHeight="1" spans="4:9">
      <c r="D574" s="59"/>
      <c r="I574" s="78"/>
    </row>
    <row r="575" ht="14.45" customHeight="1" spans="4:9">
      <c r="D575" s="59"/>
      <c r="I575" s="78"/>
    </row>
    <row r="576" ht="14.45" customHeight="1" spans="4:9">
      <c r="D576" s="59"/>
      <c r="I576" s="78"/>
    </row>
    <row r="577" ht="14.45" customHeight="1" spans="4:9">
      <c r="D577" s="59"/>
      <c r="I577" s="78"/>
    </row>
    <row r="578" ht="14.45" customHeight="1" spans="4:9">
      <c r="D578" s="59"/>
      <c r="I578" s="78"/>
    </row>
    <row r="579" ht="14.45" customHeight="1" spans="4:9">
      <c r="D579" s="59"/>
      <c r="I579" s="78"/>
    </row>
    <row r="580" ht="14.45" customHeight="1" spans="4:9">
      <c r="D580" s="59"/>
      <c r="I580" s="78"/>
    </row>
    <row r="581" ht="14.45" customHeight="1" spans="4:9">
      <c r="D581" s="59"/>
      <c r="I581" s="78"/>
    </row>
    <row r="582" ht="14.45" customHeight="1" spans="4:9">
      <c r="D582" s="59"/>
      <c r="I582" s="78"/>
    </row>
    <row r="583" ht="14.45" customHeight="1" spans="4:9">
      <c r="D583" s="59"/>
      <c r="I583" s="78"/>
    </row>
    <row r="584" ht="14.45" customHeight="1" spans="4:9">
      <c r="D584" s="59"/>
      <c r="I584" s="78"/>
    </row>
    <row r="585" ht="14.45" customHeight="1" spans="4:9">
      <c r="D585" s="59"/>
      <c r="I585" s="78"/>
    </row>
    <row r="586" ht="14.45" customHeight="1" spans="4:9">
      <c r="D586" s="59"/>
      <c r="I586" s="78"/>
    </row>
    <row r="587" ht="14.45" customHeight="1" spans="4:9">
      <c r="D587" s="59"/>
      <c r="I587" s="78"/>
    </row>
    <row r="588" ht="14.45" customHeight="1" spans="4:9">
      <c r="D588" s="59"/>
      <c r="I588" s="78"/>
    </row>
    <row r="589" ht="14.45" customHeight="1" spans="4:9">
      <c r="D589" s="59"/>
      <c r="I589" s="78"/>
    </row>
    <row r="590" ht="14.45" customHeight="1" spans="4:9">
      <c r="D590" s="59"/>
      <c r="I590" s="78"/>
    </row>
    <row r="591" ht="14.45" customHeight="1" spans="4:9">
      <c r="D591" s="59"/>
      <c r="I591" s="78"/>
    </row>
    <row r="592" ht="14.45" customHeight="1" spans="4:9">
      <c r="D592" s="59"/>
      <c r="I592" s="78"/>
    </row>
    <row r="593" ht="14.45" customHeight="1" spans="4:9">
      <c r="D593" s="59"/>
      <c r="I593" s="78"/>
    </row>
    <row r="594" ht="14.45" customHeight="1" spans="4:9">
      <c r="D594" s="59"/>
      <c r="I594" s="78"/>
    </row>
    <row r="595" ht="14.45" customHeight="1" spans="4:9">
      <c r="D595" s="59"/>
      <c r="I595" s="78"/>
    </row>
    <row r="596" ht="14.45" customHeight="1" spans="4:9">
      <c r="D596" s="59"/>
      <c r="I596" s="78"/>
    </row>
    <row r="597" ht="14.45" customHeight="1" spans="4:9">
      <c r="D597" s="59"/>
      <c r="I597" s="78"/>
    </row>
    <row r="598" ht="14.45" customHeight="1" spans="4:9">
      <c r="D598" s="59"/>
      <c r="I598" s="78"/>
    </row>
    <row r="599" ht="14.45" customHeight="1" spans="4:9">
      <c r="D599" s="59"/>
      <c r="I599" s="78"/>
    </row>
    <row r="600" ht="14.45" customHeight="1" spans="4:9">
      <c r="D600" s="59"/>
      <c r="I600" s="78"/>
    </row>
    <row r="601" ht="14.45" customHeight="1" spans="4:9">
      <c r="D601" s="59"/>
      <c r="I601" s="78"/>
    </row>
    <row r="602" ht="14.45" customHeight="1" spans="4:9">
      <c r="D602" s="59"/>
      <c r="I602" s="78"/>
    </row>
    <row r="603" ht="14.45" customHeight="1" spans="4:9">
      <c r="D603" s="59"/>
      <c r="I603" s="78"/>
    </row>
    <row r="604" ht="14.45" customHeight="1" spans="4:9">
      <c r="D604" s="59"/>
      <c r="I604" s="78"/>
    </row>
    <row r="605" ht="14.45" customHeight="1" spans="4:9">
      <c r="D605" s="59"/>
      <c r="I605" s="78"/>
    </row>
    <row r="606" ht="14.45" customHeight="1" spans="4:9">
      <c r="D606" s="59"/>
      <c r="I606" s="78"/>
    </row>
    <row r="607" ht="14.45" customHeight="1" spans="4:9">
      <c r="D607" s="59"/>
      <c r="I607" s="78"/>
    </row>
    <row r="608" ht="14.45" customHeight="1" spans="4:9">
      <c r="D608" s="59"/>
      <c r="I608" s="78"/>
    </row>
    <row r="609" ht="14.45" customHeight="1" spans="4:9">
      <c r="D609" s="59"/>
      <c r="I609" s="78"/>
    </row>
    <row r="610" ht="14.45" customHeight="1" spans="4:9">
      <c r="D610" s="59"/>
      <c r="I610" s="78"/>
    </row>
    <row r="611" ht="14.45" customHeight="1" spans="4:9">
      <c r="D611" s="59"/>
      <c r="I611" s="78"/>
    </row>
    <row r="612" ht="14.45" customHeight="1" spans="4:9">
      <c r="D612" s="59"/>
      <c r="I612" s="78"/>
    </row>
    <row r="613" ht="14.45" customHeight="1" spans="4:9">
      <c r="D613" s="59"/>
      <c r="I613" s="78"/>
    </row>
    <row r="614" ht="14.45" customHeight="1" spans="4:9">
      <c r="D614" s="59"/>
      <c r="I614" s="78"/>
    </row>
    <row r="615" ht="14.45" customHeight="1" spans="4:9">
      <c r="D615" s="59"/>
      <c r="I615" s="78"/>
    </row>
    <row r="616" ht="14.45" customHeight="1" spans="4:9">
      <c r="D616" s="59"/>
      <c r="I616" s="78"/>
    </row>
    <row r="617" ht="14.45" customHeight="1" spans="4:9">
      <c r="D617" s="59"/>
      <c r="I617" s="78"/>
    </row>
    <row r="618" ht="14.45" customHeight="1" spans="4:9">
      <c r="D618" s="59"/>
      <c r="I618" s="78"/>
    </row>
    <row r="619" ht="14.45" customHeight="1" spans="4:9">
      <c r="D619" s="59"/>
      <c r="I619" s="78"/>
    </row>
    <row r="620" ht="14.45" customHeight="1" spans="4:9">
      <c r="D620" s="59"/>
      <c r="I620" s="78"/>
    </row>
    <row r="621" ht="14.45" customHeight="1" spans="4:9">
      <c r="D621" s="59"/>
      <c r="I621" s="78"/>
    </row>
    <row r="622" ht="14.45" customHeight="1" spans="4:9">
      <c r="D622" s="59"/>
      <c r="I622" s="78"/>
    </row>
    <row r="623" ht="14.45" customHeight="1" spans="4:9">
      <c r="D623" s="59"/>
      <c r="I623" s="78"/>
    </row>
    <row r="624" ht="14.45" customHeight="1" spans="4:9">
      <c r="D624" s="59"/>
      <c r="I624" s="78"/>
    </row>
    <row r="625" ht="14.45" customHeight="1" spans="4:9">
      <c r="D625" s="59"/>
      <c r="I625" s="78"/>
    </row>
    <row r="626" ht="14.45" customHeight="1" spans="4:9">
      <c r="D626" s="59"/>
      <c r="I626" s="78"/>
    </row>
    <row r="627" ht="14.45" customHeight="1" spans="4:9">
      <c r="D627" s="59"/>
      <c r="I627" s="78"/>
    </row>
    <row r="628" ht="14.45" customHeight="1" spans="4:9">
      <c r="D628" s="59"/>
      <c r="I628" s="78"/>
    </row>
    <row r="629" ht="14.45" customHeight="1" spans="4:9">
      <c r="D629" s="59"/>
      <c r="I629" s="78"/>
    </row>
    <row r="630" ht="14.45" customHeight="1" spans="4:9">
      <c r="D630" s="59"/>
      <c r="I630" s="78"/>
    </row>
    <row r="631" ht="14.45" customHeight="1" spans="4:9">
      <c r="D631" s="59"/>
      <c r="I631" s="78"/>
    </row>
    <row r="632" ht="14.45" customHeight="1" spans="4:9">
      <c r="D632" s="59"/>
      <c r="I632" s="78"/>
    </row>
    <row r="633" ht="14.45" customHeight="1" spans="4:9">
      <c r="D633" s="59"/>
      <c r="I633" s="78"/>
    </row>
    <row r="634" ht="14.45" customHeight="1" spans="4:9">
      <c r="D634" s="59"/>
      <c r="I634" s="78"/>
    </row>
    <row r="635" ht="14.45" customHeight="1" spans="4:9">
      <c r="D635" s="59"/>
      <c r="I635" s="78"/>
    </row>
    <row r="636" ht="14.45" customHeight="1" spans="4:9">
      <c r="D636" s="59"/>
      <c r="I636" s="78"/>
    </row>
    <row r="637" ht="14.45" customHeight="1" spans="4:9">
      <c r="D637" s="59"/>
      <c r="I637" s="78"/>
    </row>
    <row r="638" ht="14.45" customHeight="1" spans="4:9">
      <c r="D638" s="59"/>
      <c r="I638" s="78"/>
    </row>
    <row r="639" ht="14.45" customHeight="1" spans="4:9">
      <c r="D639" s="59"/>
      <c r="I639" s="78"/>
    </row>
    <row r="640" ht="14.45" customHeight="1" spans="4:9">
      <c r="D640" s="59"/>
      <c r="I640" s="78"/>
    </row>
    <row r="641" ht="14.45" customHeight="1" spans="4:9">
      <c r="D641" s="59"/>
      <c r="I641" s="78"/>
    </row>
    <row r="642" ht="14.45" customHeight="1" spans="4:9">
      <c r="D642" s="59"/>
      <c r="I642" s="78"/>
    </row>
    <row r="643" ht="14.45" customHeight="1" spans="4:9">
      <c r="D643" s="59"/>
      <c r="I643" s="78"/>
    </row>
    <row r="644" ht="14.45" customHeight="1" spans="4:9">
      <c r="D644" s="59"/>
      <c r="I644" s="78"/>
    </row>
    <row r="645" ht="14.45" customHeight="1" spans="4:9">
      <c r="D645" s="59"/>
      <c r="I645" s="78"/>
    </row>
    <row r="646" ht="14.45" customHeight="1" spans="4:9">
      <c r="D646" s="59"/>
      <c r="I646" s="78"/>
    </row>
    <row r="647" ht="14.45" customHeight="1" spans="4:9">
      <c r="D647" s="59"/>
      <c r="I647" s="78"/>
    </row>
    <row r="648" ht="14.45" customHeight="1" spans="4:9">
      <c r="D648" s="59"/>
      <c r="I648" s="78"/>
    </row>
    <row r="649" ht="14.45" customHeight="1" spans="4:9">
      <c r="D649" s="59"/>
      <c r="I649" s="78"/>
    </row>
    <row r="650" ht="14.45" customHeight="1" spans="4:9">
      <c r="D650" s="59"/>
      <c r="I650" s="78"/>
    </row>
    <row r="651" ht="14.45" customHeight="1" spans="4:9">
      <c r="D651" s="59"/>
      <c r="I651" s="78"/>
    </row>
    <row r="652" ht="14.45" customHeight="1" spans="4:9">
      <c r="D652" s="59"/>
      <c r="I652" s="78"/>
    </row>
    <row r="653" ht="14.45" customHeight="1" spans="4:9">
      <c r="D653" s="59"/>
      <c r="I653" s="78"/>
    </row>
    <row r="654" ht="14.45" customHeight="1" spans="4:9">
      <c r="D654" s="59"/>
      <c r="I654" s="78"/>
    </row>
    <row r="655" ht="14.45" customHeight="1" spans="4:9">
      <c r="D655" s="59"/>
      <c r="I655" s="78"/>
    </row>
    <row r="656" ht="14.45" customHeight="1" spans="4:9">
      <c r="D656" s="59"/>
      <c r="I656" s="78"/>
    </row>
    <row r="657" ht="14.45" customHeight="1" spans="4:9">
      <c r="D657" s="59"/>
      <c r="I657" s="78"/>
    </row>
    <row r="658" ht="14.45" customHeight="1" spans="4:9">
      <c r="D658" s="59"/>
      <c r="I658" s="78"/>
    </row>
    <row r="659" ht="14.45" customHeight="1" spans="4:9">
      <c r="D659" s="59"/>
      <c r="I659" s="78"/>
    </row>
    <row r="660" ht="14.45" customHeight="1" spans="4:9">
      <c r="D660" s="59"/>
      <c r="I660" s="78"/>
    </row>
    <row r="661" ht="14.45" customHeight="1" spans="4:9">
      <c r="D661" s="59"/>
      <c r="I661" s="78"/>
    </row>
    <row r="662" ht="14.45" customHeight="1" spans="4:9">
      <c r="D662" s="59"/>
      <c r="I662" s="78"/>
    </row>
    <row r="663" ht="14.45" customHeight="1" spans="4:9">
      <c r="D663" s="59"/>
      <c r="I663" s="78"/>
    </row>
    <row r="664" ht="14.45" customHeight="1" spans="4:9">
      <c r="D664" s="59"/>
      <c r="I664" s="78"/>
    </row>
    <row r="665" ht="14.45" customHeight="1" spans="4:9">
      <c r="D665" s="59"/>
      <c r="I665" s="78"/>
    </row>
    <row r="666" ht="14.45" customHeight="1" spans="4:9">
      <c r="D666" s="59"/>
      <c r="I666" s="78"/>
    </row>
    <row r="667" ht="14.45" customHeight="1" spans="4:9">
      <c r="D667" s="59"/>
      <c r="I667" s="78"/>
    </row>
    <row r="668" ht="14.45" customHeight="1" spans="4:9">
      <c r="D668" s="59"/>
      <c r="I668" s="78"/>
    </row>
    <row r="669" ht="14.45" customHeight="1" spans="4:9">
      <c r="D669" s="59"/>
      <c r="I669" s="78"/>
    </row>
    <row r="670" ht="14.45" customHeight="1" spans="4:9">
      <c r="D670" s="59"/>
      <c r="I670" s="78"/>
    </row>
    <row r="671" ht="14.45" customHeight="1" spans="4:9">
      <c r="D671" s="59"/>
      <c r="I671" s="78"/>
    </row>
    <row r="672" ht="14.45" customHeight="1" spans="4:9">
      <c r="D672" s="59"/>
      <c r="I672" s="78"/>
    </row>
    <row r="673" ht="14.45" customHeight="1" spans="4:9">
      <c r="D673" s="59"/>
      <c r="I673" s="78"/>
    </row>
    <row r="674" ht="14.45" customHeight="1" spans="4:9">
      <c r="D674" s="59"/>
      <c r="I674" s="78"/>
    </row>
    <row r="675" ht="14.45" customHeight="1" spans="4:9">
      <c r="D675" s="59"/>
      <c r="I675" s="78"/>
    </row>
    <row r="676" ht="14.45" customHeight="1" spans="4:9">
      <c r="D676" s="59"/>
      <c r="I676" s="78"/>
    </row>
    <row r="677" ht="14.45" customHeight="1" spans="4:9">
      <c r="D677" s="59"/>
      <c r="I677" s="78"/>
    </row>
    <row r="678" ht="14.45" customHeight="1" spans="4:9">
      <c r="D678" s="59"/>
      <c r="I678" s="78"/>
    </row>
    <row r="679" ht="14.45" customHeight="1" spans="4:9">
      <c r="D679" s="59"/>
      <c r="I679" s="78"/>
    </row>
    <row r="680" ht="14.45" customHeight="1" spans="4:9">
      <c r="D680" s="59"/>
      <c r="I680" s="78"/>
    </row>
    <row r="681" ht="14.45" customHeight="1" spans="4:9">
      <c r="D681" s="59"/>
      <c r="I681" s="78"/>
    </row>
    <row r="682" ht="14.45" customHeight="1" spans="4:9">
      <c r="D682" s="59"/>
      <c r="I682" s="78"/>
    </row>
    <row r="683" ht="14.45" customHeight="1" spans="4:9">
      <c r="D683" s="59"/>
      <c r="I683" s="78"/>
    </row>
    <row r="684" ht="14.45" customHeight="1" spans="4:9">
      <c r="D684" s="59"/>
      <c r="I684" s="78"/>
    </row>
    <row r="685" ht="14.45" customHeight="1" spans="4:9">
      <c r="D685" s="59"/>
      <c r="I685" s="78"/>
    </row>
    <row r="686" ht="14.45" customHeight="1" spans="4:9">
      <c r="D686" s="59"/>
      <c r="I686" s="78"/>
    </row>
    <row r="687" ht="14.45" customHeight="1" spans="4:9">
      <c r="D687" s="59"/>
      <c r="I687" s="78"/>
    </row>
    <row r="688" ht="14.45" customHeight="1" spans="4:9">
      <c r="D688" s="59"/>
      <c r="I688" s="78"/>
    </row>
    <row r="689" ht="14.45" customHeight="1" spans="4:9">
      <c r="D689" s="59"/>
      <c r="I689" s="78"/>
    </row>
    <row r="690" ht="14.45" customHeight="1" spans="4:9">
      <c r="D690" s="59"/>
      <c r="I690" s="78"/>
    </row>
    <row r="691" ht="14.45" customHeight="1" spans="4:9">
      <c r="D691" s="59"/>
      <c r="I691" s="78"/>
    </row>
    <row r="692" ht="14.45" customHeight="1" spans="4:9">
      <c r="D692" s="59"/>
      <c r="I692" s="78"/>
    </row>
    <row r="693" ht="14.45" customHeight="1" spans="4:9">
      <c r="D693" s="59"/>
      <c r="I693" s="78"/>
    </row>
    <row r="694" ht="14.45" customHeight="1" spans="4:9">
      <c r="D694" s="59"/>
      <c r="I694" s="78"/>
    </row>
    <row r="695" ht="14.45" customHeight="1" spans="4:9">
      <c r="D695" s="59"/>
      <c r="I695" s="78"/>
    </row>
    <row r="696" ht="14.45" customHeight="1" spans="4:9">
      <c r="D696" s="59"/>
      <c r="I696" s="78"/>
    </row>
    <row r="697" ht="14.45" customHeight="1" spans="4:9">
      <c r="D697" s="59"/>
      <c r="I697" s="78"/>
    </row>
    <row r="698" ht="14.45" customHeight="1" spans="4:9">
      <c r="D698" s="59"/>
      <c r="I698" s="78"/>
    </row>
    <row r="699" ht="14.45" customHeight="1" spans="4:9">
      <c r="D699" s="59"/>
      <c r="I699" s="78"/>
    </row>
    <row r="700" ht="14.45" customHeight="1" spans="4:9">
      <c r="D700" s="59"/>
      <c r="I700" s="78"/>
    </row>
    <row r="701" ht="14.45" customHeight="1" spans="4:9">
      <c r="D701" s="59"/>
      <c r="I701" s="78"/>
    </row>
    <row r="702" ht="14.45" customHeight="1" spans="4:9">
      <c r="D702" s="59"/>
      <c r="I702" s="78"/>
    </row>
    <row r="703" ht="14.45" customHeight="1" spans="4:9">
      <c r="D703" s="59"/>
      <c r="I703" s="78"/>
    </row>
    <row r="704" ht="14.45" customHeight="1" spans="4:9">
      <c r="D704" s="59"/>
      <c r="I704" s="78"/>
    </row>
    <row r="705" ht="14.45" customHeight="1" spans="4:9">
      <c r="D705" s="59"/>
      <c r="I705" s="78"/>
    </row>
    <row r="706" ht="14.45" customHeight="1" spans="4:9">
      <c r="D706" s="59"/>
      <c r="I706" s="78"/>
    </row>
    <row r="707" ht="14.45" customHeight="1" spans="4:9">
      <c r="D707" s="59"/>
      <c r="I707" s="78"/>
    </row>
    <row r="708" ht="14.45" customHeight="1" spans="4:9">
      <c r="D708" s="59"/>
      <c r="I708" s="78"/>
    </row>
    <row r="709" ht="14.45" customHeight="1" spans="4:9">
      <c r="D709" s="59"/>
      <c r="I709" s="78"/>
    </row>
    <row r="710" ht="14.45" customHeight="1" spans="4:9">
      <c r="D710" s="59"/>
      <c r="I710" s="78"/>
    </row>
    <row r="711" ht="14.45" customHeight="1" spans="4:9">
      <c r="D711" s="59"/>
      <c r="I711" s="78"/>
    </row>
    <row r="712" ht="14.45" customHeight="1" spans="4:9">
      <c r="D712" s="59"/>
      <c r="I712" s="78"/>
    </row>
    <row r="713" ht="14.45" customHeight="1" spans="4:9">
      <c r="D713" s="59"/>
      <c r="I713" s="78"/>
    </row>
    <row r="714" ht="14.45" customHeight="1" spans="4:9">
      <c r="D714" s="59"/>
      <c r="I714" s="78"/>
    </row>
    <row r="715" ht="14.45" customHeight="1" spans="4:9">
      <c r="D715" s="59"/>
      <c r="I715" s="78"/>
    </row>
    <row r="716" ht="14.45" customHeight="1" spans="4:9">
      <c r="D716" s="59"/>
      <c r="I716" s="78"/>
    </row>
    <row r="717" ht="14.45" customHeight="1" spans="4:9">
      <c r="D717" s="59"/>
      <c r="I717" s="78"/>
    </row>
    <row r="718" ht="14.45" customHeight="1" spans="4:9">
      <c r="D718" s="59"/>
      <c r="I718" s="78"/>
    </row>
    <row r="719" ht="14.45" customHeight="1" spans="4:9">
      <c r="D719" s="59"/>
      <c r="I719" s="78"/>
    </row>
    <row r="720" ht="14.45" customHeight="1" spans="4:9">
      <c r="D720" s="59"/>
      <c r="I720" s="78"/>
    </row>
    <row r="721" ht="14.45" customHeight="1" spans="4:9">
      <c r="D721" s="59"/>
      <c r="I721" s="78"/>
    </row>
    <row r="722" ht="14.45" customHeight="1" spans="4:9">
      <c r="D722" s="59"/>
      <c r="I722" s="78"/>
    </row>
    <row r="723" ht="14.45" customHeight="1" spans="4:9">
      <c r="D723" s="59"/>
      <c r="I723" s="78"/>
    </row>
    <row r="724" ht="14.45" customHeight="1" spans="4:9">
      <c r="D724" s="59"/>
      <c r="I724" s="78"/>
    </row>
    <row r="725" ht="14.45" customHeight="1" spans="4:9">
      <c r="D725" s="59"/>
      <c r="I725" s="78"/>
    </row>
    <row r="726" ht="14.45" customHeight="1" spans="4:9">
      <c r="D726" s="59"/>
      <c r="I726" s="78"/>
    </row>
    <row r="727" ht="14.45" customHeight="1" spans="4:9">
      <c r="D727" s="59"/>
      <c r="I727" s="78"/>
    </row>
    <row r="728" ht="14.45" customHeight="1" spans="4:9">
      <c r="D728" s="59"/>
      <c r="I728" s="78"/>
    </row>
    <row r="729" ht="14.45" customHeight="1" spans="4:9">
      <c r="D729" s="59"/>
      <c r="I729" s="78"/>
    </row>
    <row r="730" ht="14.45" customHeight="1" spans="4:9">
      <c r="D730" s="59"/>
      <c r="I730" s="78"/>
    </row>
    <row r="731" ht="14.45" customHeight="1" spans="4:9">
      <c r="D731" s="59"/>
      <c r="I731" s="78"/>
    </row>
    <row r="732" ht="14.45" customHeight="1" spans="4:9">
      <c r="D732" s="59"/>
      <c r="I732" s="78"/>
    </row>
    <row r="733" ht="14.45" customHeight="1" spans="4:9">
      <c r="D733" s="59"/>
      <c r="I733" s="78"/>
    </row>
    <row r="734" ht="14.45" customHeight="1" spans="4:9">
      <c r="D734" s="59"/>
      <c r="I734" s="78"/>
    </row>
    <row r="735" ht="14.45" customHeight="1" spans="4:9">
      <c r="D735" s="59"/>
      <c r="I735" s="78"/>
    </row>
    <row r="736" ht="14.45" customHeight="1" spans="4:9">
      <c r="D736" s="59"/>
      <c r="I736" s="78"/>
    </row>
    <row r="737" ht="14.45" customHeight="1" spans="4:9">
      <c r="D737" s="59"/>
      <c r="I737" s="78"/>
    </row>
    <row r="738" ht="14.45" customHeight="1" spans="4:9">
      <c r="D738" s="59"/>
      <c r="I738" s="78"/>
    </row>
    <row r="739" ht="14.45" customHeight="1" spans="4:9">
      <c r="D739" s="59"/>
      <c r="I739" s="78"/>
    </row>
    <row r="740" ht="14.45" customHeight="1" spans="4:9">
      <c r="D740" s="59"/>
      <c r="I740" s="78"/>
    </row>
    <row r="741" ht="14.45" customHeight="1" spans="4:9">
      <c r="D741" s="59"/>
      <c r="I741" s="78"/>
    </row>
    <row r="742" ht="14.45" customHeight="1" spans="4:9">
      <c r="D742" s="59"/>
      <c r="I742" s="78"/>
    </row>
    <row r="743" ht="14.45" customHeight="1" spans="4:9">
      <c r="D743" s="59"/>
      <c r="I743" s="78"/>
    </row>
    <row r="744" ht="14.45" customHeight="1" spans="4:9">
      <c r="D744" s="59"/>
      <c r="I744" s="78"/>
    </row>
    <row r="745" ht="14.45" customHeight="1" spans="4:9">
      <c r="D745" s="59"/>
      <c r="I745" s="78"/>
    </row>
    <row r="746" ht="14.45" customHeight="1" spans="4:9">
      <c r="D746" s="59"/>
      <c r="I746" s="78"/>
    </row>
    <row r="747" ht="14.45" customHeight="1" spans="4:9">
      <c r="D747" s="59"/>
      <c r="I747" s="78"/>
    </row>
    <row r="748" ht="14.45" customHeight="1" spans="4:9">
      <c r="D748" s="59"/>
      <c r="I748" s="78"/>
    </row>
    <row r="749" ht="14.45" customHeight="1" spans="4:9">
      <c r="D749" s="59"/>
      <c r="I749" s="78"/>
    </row>
    <row r="750" ht="14.45" customHeight="1" spans="4:9">
      <c r="D750" s="59"/>
      <c r="I750" s="78"/>
    </row>
    <row r="751" ht="14.45" customHeight="1" spans="4:9">
      <c r="D751" s="59"/>
      <c r="I751" s="78"/>
    </row>
    <row r="752" ht="14.45" customHeight="1" spans="4:9">
      <c r="D752" s="59"/>
      <c r="I752" s="78"/>
    </row>
    <row r="753" ht="14.45" customHeight="1" spans="4:9">
      <c r="D753" s="59"/>
      <c r="I753" s="78"/>
    </row>
    <row r="754" ht="14.45" customHeight="1" spans="4:9">
      <c r="D754" s="59"/>
      <c r="I754" s="78"/>
    </row>
    <row r="755" ht="14.45" customHeight="1" spans="4:9">
      <c r="D755" s="59"/>
      <c r="I755" s="78"/>
    </row>
    <row r="756" ht="14.45" customHeight="1" spans="4:9">
      <c r="D756" s="59"/>
      <c r="I756" s="78"/>
    </row>
    <row r="757" ht="14.45" customHeight="1" spans="4:9">
      <c r="D757" s="59"/>
      <c r="I757" s="78"/>
    </row>
    <row r="758" ht="14.45" customHeight="1" spans="4:9">
      <c r="D758" s="59"/>
      <c r="I758" s="78"/>
    </row>
    <row r="759" ht="14.45" customHeight="1" spans="4:9">
      <c r="D759" s="59"/>
      <c r="I759" s="78"/>
    </row>
    <row r="760" ht="14.45" customHeight="1" spans="4:9">
      <c r="D760" s="59"/>
      <c r="I760" s="78"/>
    </row>
    <row r="761" ht="14.45" customHeight="1" spans="4:9">
      <c r="D761" s="59"/>
      <c r="I761" s="78"/>
    </row>
    <row r="762" ht="14.45" customHeight="1" spans="4:9">
      <c r="D762" s="59"/>
      <c r="I762" s="78"/>
    </row>
    <row r="763" ht="14.45" customHeight="1" spans="4:9">
      <c r="D763" s="59"/>
      <c r="I763" s="78"/>
    </row>
    <row r="764" ht="14.45" customHeight="1" spans="4:9">
      <c r="D764" s="59"/>
      <c r="I764" s="78"/>
    </row>
    <row r="765" ht="14.45" customHeight="1" spans="4:9">
      <c r="D765" s="59"/>
      <c r="I765" s="78"/>
    </row>
    <row r="766" ht="14.45" customHeight="1" spans="4:9">
      <c r="D766" s="59"/>
      <c r="I766" s="78"/>
    </row>
    <row r="767" ht="14.45" customHeight="1" spans="4:9">
      <c r="D767" s="59"/>
      <c r="I767" s="78"/>
    </row>
    <row r="768" ht="14.45" customHeight="1" spans="4:9">
      <c r="D768" s="59"/>
      <c r="I768" s="78"/>
    </row>
    <row r="769" ht="14.45" customHeight="1" spans="4:9">
      <c r="D769" s="59"/>
      <c r="I769" s="78"/>
    </row>
    <row r="770" ht="14.45" customHeight="1" spans="4:9">
      <c r="D770" s="59"/>
      <c r="I770" s="78"/>
    </row>
    <row r="771" ht="14.45" customHeight="1" spans="4:9">
      <c r="D771" s="59"/>
      <c r="I771" s="78"/>
    </row>
    <row r="772" ht="14.45" customHeight="1" spans="4:9">
      <c r="D772" s="59"/>
      <c r="I772" s="78"/>
    </row>
    <row r="773" ht="14.45" customHeight="1" spans="4:9">
      <c r="D773" s="59"/>
      <c r="I773" s="78"/>
    </row>
    <row r="774" ht="14.45" customHeight="1" spans="4:9">
      <c r="D774" s="59"/>
      <c r="I774" s="78"/>
    </row>
    <row r="775" ht="14.45" customHeight="1" spans="4:9">
      <c r="D775" s="59"/>
      <c r="I775" s="78"/>
    </row>
    <row r="776" ht="14.45" customHeight="1" spans="4:9">
      <c r="D776" s="59"/>
      <c r="I776" s="78"/>
    </row>
    <row r="777" ht="14.45" customHeight="1" spans="4:9">
      <c r="D777" s="59"/>
      <c r="I777" s="78"/>
    </row>
    <row r="778" ht="14.45" customHeight="1" spans="4:9">
      <c r="D778" s="59"/>
      <c r="I778" s="78"/>
    </row>
    <row r="779" ht="14.45" customHeight="1" spans="4:9">
      <c r="D779" s="59"/>
      <c r="I779" s="78"/>
    </row>
    <row r="780" ht="14.45" customHeight="1" spans="4:9">
      <c r="D780" s="59"/>
      <c r="I780" s="78"/>
    </row>
    <row r="781" ht="14.45" customHeight="1" spans="4:9">
      <c r="D781" s="59"/>
      <c r="I781" s="78"/>
    </row>
    <row r="782" ht="14.45" customHeight="1" spans="4:9">
      <c r="D782" s="59"/>
      <c r="I782" s="78"/>
    </row>
    <row r="783" ht="14.45" customHeight="1" spans="4:9">
      <c r="D783" s="59"/>
      <c r="I783" s="78"/>
    </row>
    <row r="784" ht="14.45" customHeight="1" spans="4:9">
      <c r="D784" s="59"/>
      <c r="I784" s="78"/>
    </row>
    <row r="785" ht="14.45" customHeight="1" spans="4:9">
      <c r="D785" s="59"/>
      <c r="I785" s="78"/>
    </row>
    <row r="786" ht="14.45" customHeight="1" spans="4:9">
      <c r="D786" s="59"/>
      <c r="I786" s="78"/>
    </row>
    <row r="787" ht="14.45" customHeight="1" spans="4:9">
      <c r="D787" s="59"/>
      <c r="I787" s="78"/>
    </row>
    <row r="788" ht="14.45" customHeight="1" spans="4:9">
      <c r="D788" s="59"/>
      <c r="I788" s="78"/>
    </row>
    <row r="789" ht="14.45" customHeight="1" spans="4:9">
      <c r="D789" s="59"/>
      <c r="I789" s="78"/>
    </row>
    <row r="790" ht="14.45" customHeight="1" spans="4:9">
      <c r="D790" s="59"/>
      <c r="I790" s="78"/>
    </row>
    <row r="791" ht="14.45" customHeight="1" spans="4:9">
      <c r="D791" s="59"/>
      <c r="I791" s="78"/>
    </row>
    <row r="792" ht="14.45" customHeight="1" spans="4:9">
      <c r="D792" s="59"/>
      <c r="I792" s="78"/>
    </row>
    <row r="793" ht="14.45" customHeight="1" spans="4:9">
      <c r="D793" s="59"/>
      <c r="I793" s="78"/>
    </row>
    <row r="794" ht="14.45" customHeight="1" spans="4:9">
      <c r="D794" s="59"/>
      <c r="I794" s="78"/>
    </row>
    <row r="795" ht="14.45" customHeight="1" spans="4:9">
      <c r="D795" s="59"/>
      <c r="I795" s="78"/>
    </row>
    <row r="796" ht="14.45" customHeight="1" spans="4:9">
      <c r="D796" s="59"/>
      <c r="I796" s="78"/>
    </row>
    <row r="797" ht="14.45" customHeight="1" spans="4:9">
      <c r="D797" s="59"/>
      <c r="I797" s="78"/>
    </row>
    <row r="798" ht="14.45" customHeight="1" spans="4:9">
      <c r="D798" s="59"/>
      <c r="I798" s="78"/>
    </row>
    <row r="799" ht="14.45" customHeight="1" spans="4:9">
      <c r="D799" s="59"/>
      <c r="I799" s="78"/>
    </row>
    <row r="800" ht="14.45" customHeight="1" spans="4:9">
      <c r="D800" s="59"/>
      <c r="I800" s="78"/>
    </row>
    <row r="801" ht="14.45" customHeight="1" spans="4:9">
      <c r="D801" s="59"/>
      <c r="I801" s="78"/>
    </row>
    <row r="802" ht="14.45" customHeight="1" spans="4:9">
      <c r="D802" s="59"/>
      <c r="I802" s="78"/>
    </row>
    <row r="803" ht="14.45" customHeight="1" spans="4:9">
      <c r="D803" s="59"/>
      <c r="I803" s="78"/>
    </row>
    <row r="804" ht="14.45" customHeight="1" spans="4:9">
      <c r="D804" s="59"/>
      <c r="I804" s="78"/>
    </row>
    <row r="805" ht="14.45" customHeight="1" spans="4:9">
      <c r="D805" s="59"/>
      <c r="I805" s="78"/>
    </row>
    <row r="806" ht="14.45" customHeight="1" spans="4:9">
      <c r="D806" s="59"/>
      <c r="I806" s="78"/>
    </row>
    <row r="807" ht="14.45" customHeight="1" spans="4:9">
      <c r="D807" s="59"/>
      <c r="I807" s="78"/>
    </row>
    <row r="808" ht="14.45" customHeight="1" spans="4:9">
      <c r="D808" s="59"/>
      <c r="I808" s="78"/>
    </row>
    <row r="809" ht="14.45" customHeight="1" spans="4:9">
      <c r="D809" s="59"/>
      <c r="I809" s="78"/>
    </row>
    <row r="810" ht="14.45" customHeight="1" spans="4:9">
      <c r="D810" s="59"/>
      <c r="I810" s="78"/>
    </row>
    <row r="811" ht="14.45" customHeight="1" spans="4:9">
      <c r="D811" s="59"/>
      <c r="I811" s="78"/>
    </row>
    <row r="812" ht="14.45" customHeight="1" spans="4:9">
      <c r="D812" s="59"/>
      <c r="I812" s="78"/>
    </row>
    <row r="813" ht="14.45" customHeight="1" spans="4:9">
      <c r="D813" s="59"/>
      <c r="I813" s="78"/>
    </row>
    <row r="814" ht="14.45" customHeight="1" spans="4:9">
      <c r="D814" s="59"/>
      <c r="I814" s="78"/>
    </row>
    <row r="815" ht="14.45" customHeight="1" spans="4:9">
      <c r="D815" s="59"/>
      <c r="I815" s="78"/>
    </row>
    <row r="816" ht="14.45" customHeight="1" spans="4:9">
      <c r="D816" s="59"/>
      <c r="I816" s="78"/>
    </row>
    <row r="817" ht="14.45" customHeight="1" spans="4:9">
      <c r="D817" s="59"/>
      <c r="I817" s="78"/>
    </row>
    <row r="818" ht="14.45" customHeight="1" spans="4:9">
      <c r="D818" s="59"/>
      <c r="I818" s="78"/>
    </row>
    <row r="819" ht="14.45" customHeight="1" spans="4:9">
      <c r="D819" s="59"/>
      <c r="I819" s="78"/>
    </row>
    <row r="820" ht="14.45" customHeight="1" spans="4:9">
      <c r="D820" s="59"/>
      <c r="I820" s="78"/>
    </row>
    <row r="821" ht="14.45" customHeight="1" spans="4:9">
      <c r="D821" s="59"/>
      <c r="I821" s="78"/>
    </row>
    <row r="822" ht="14.45" customHeight="1" spans="4:9">
      <c r="D822" s="59"/>
      <c r="I822" s="78"/>
    </row>
    <row r="823" ht="14.45" customHeight="1" spans="4:9">
      <c r="D823" s="59"/>
      <c r="I823" s="78"/>
    </row>
    <row r="824" ht="14.45" customHeight="1" spans="4:9">
      <c r="D824" s="59"/>
      <c r="I824" s="78"/>
    </row>
    <row r="825" ht="14.45" customHeight="1" spans="4:9">
      <c r="D825" s="59"/>
      <c r="I825" s="78"/>
    </row>
    <row r="826" ht="14.45" customHeight="1" spans="4:9">
      <c r="D826" s="59"/>
      <c r="I826" s="78"/>
    </row>
    <row r="827" ht="14.45" customHeight="1" spans="4:9">
      <c r="D827" s="59"/>
      <c r="I827" s="78"/>
    </row>
    <row r="828" ht="14.45" customHeight="1" spans="4:9">
      <c r="D828" s="59"/>
      <c r="I828" s="78"/>
    </row>
    <row r="829" ht="14.45" customHeight="1" spans="4:9">
      <c r="D829" s="59"/>
      <c r="I829" s="78"/>
    </row>
    <row r="830" ht="14.45" customHeight="1" spans="4:9">
      <c r="D830" s="59"/>
      <c r="I830" s="78"/>
    </row>
    <row r="831" ht="14.45" customHeight="1" spans="4:9">
      <c r="D831" s="59"/>
      <c r="I831" s="78"/>
    </row>
    <row r="832" ht="14.45" customHeight="1" spans="4:9">
      <c r="D832" s="59"/>
      <c r="I832" s="78"/>
    </row>
    <row r="833" ht="14.45" customHeight="1" spans="4:9">
      <c r="D833" s="59"/>
      <c r="I833" s="78"/>
    </row>
    <row r="834" ht="14.45" customHeight="1" spans="4:9">
      <c r="D834" s="59"/>
      <c r="I834" s="78"/>
    </row>
    <row r="835" ht="14.45" customHeight="1" spans="4:9">
      <c r="D835" s="59"/>
      <c r="I835" s="78"/>
    </row>
    <row r="836" ht="14.45" customHeight="1" spans="4:9">
      <c r="D836" s="59"/>
      <c r="I836" s="78"/>
    </row>
    <row r="837" ht="14.45" customHeight="1" spans="4:9">
      <c r="D837" s="59"/>
      <c r="I837" s="78"/>
    </row>
    <row r="838" ht="14.45" customHeight="1" spans="4:9">
      <c r="D838" s="59"/>
      <c r="I838" s="78"/>
    </row>
    <row r="839" ht="14.45" customHeight="1" spans="4:9">
      <c r="D839" s="59"/>
      <c r="I839" s="78"/>
    </row>
    <row r="840" ht="14.45" customHeight="1" spans="4:9">
      <c r="D840" s="59"/>
      <c r="I840" s="78"/>
    </row>
    <row r="841" ht="14.45" customHeight="1" spans="4:9">
      <c r="D841" s="59"/>
      <c r="I841" s="78"/>
    </row>
    <row r="842" ht="14.45" customHeight="1" spans="4:9">
      <c r="D842" s="59"/>
      <c r="I842" s="78"/>
    </row>
    <row r="843" ht="14.45" customHeight="1" spans="4:9">
      <c r="D843" s="59"/>
      <c r="I843" s="78"/>
    </row>
    <row r="844" ht="14.45" customHeight="1" spans="4:9">
      <c r="D844" s="59"/>
      <c r="I844" s="78"/>
    </row>
    <row r="845" ht="14.45" customHeight="1" spans="4:9">
      <c r="D845" s="59"/>
      <c r="I845" s="78"/>
    </row>
    <row r="846" ht="14.45" customHeight="1" spans="4:9">
      <c r="D846" s="59"/>
      <c r="I846" s="78"/>
    </row>
    <row r="847" ht="14.45" customHeight="1" spans="4:9">
      <c r="D847" s="59"/>
      <c r="I847" s="78"/>
    </row>
    <row r="848" ht="14.45" customHeight="1" spans="4:9">
      <c r="D848" s="59"/>
      <c r="I848" s="78"/>
    </row>
    <row r="849" ht="14.45" customHeight="1" spans="4:9">
      <c r="D849" s="59"/>
      <c r="I849" s="78"/>
    </row>
    <row r="850" ht="14.45" customHeight="1" spans="4:9">
      <c r="D850" s="59"/>
      <c r="I850" s="78"/>
    </row>
    <row r="851" ht="14.45" customHeight="1" spans="4:9">
      <c r="D851" s="59"/>
      <c r="I851" s="78"/>
    </row>
    <row r="852" ht="14.45" customHeight="1" spans="4:9">
      <c r="D852" s="59"/>
      <c r="I852" s="78"/>
    </row>
    <row r="853" ht="14.45" customHeight="1" spans="4:9">
      <c r="D853" s="59"/>
      <c r="I853" s="78"/>
    </row>
    <row r="854" ht="14.45" customHeight="1" spans="4:9">
      <c r="D854" s="59"/>
      <c r="I854" s="78"/>
    </row>
    <row r="855" ht="14.45" customHeight="1" spans="4:9">
      <c r="D855" s="59"/>
      <c r="I855" s="78"/>
    </row>
    <row r="856" ht="14.45" customHeight="1" spans="4:9">
      <c r="D856" s="59"/>
      <c r="I856" s="78"/>
    </row>
    <row r="857" ht="14.45" customHeight="1" spans="4:9">
      <c r="D857" s="59"/>
      <c r="I857" s="78"/>
    </row>
    <row r="858" ht="14.45" customHeight="1" spans="4:9">
      <c r="D858" s="59"/>
      <c r="I858" s="78"/>
    </row>
    <row r="859" ht="14.45" customHeight="1" spans="4:9">
      <c r="D859" s="59"/>
      <c r="I859" s="78"/>
    </row>
    <row r="860" ht="14.45" customHeight="1" spans="4:9">
      <c r="D860" s="59"/>
      <c r="I860" s="78"/>
    </row>
    <row r="861" ht="14.45" customHeight="1" spans="4:9">
      <c r="D861" s="59"/>
      <c r="I861" s="78"/>
    </row>
    <row r="862" ht="14.45" customHeight="1" spans="4:9">
      <c r="D862" s="59"/>
      <c r="I862" s="78"/>
    </row>
    <row r="863" ht="14.45" customHeight="1" spans="4:9">
      <c r="D863" s="59"/>
      <c r="I863" s="78"/>
    </row>
    <row r="864" ht="14.45" customHeight="1" spans="4:9">
      <c r="D864" s="59"/>
      <c r="I864" s="78"/>
    </row>
    <row r="865" ht="14.45" customHeight="1" spans="4:9">
      <c r="D865" s="59"/>
      <c r="I865" s="78"/>
    </row>
    <row r="866" ht="14.45" customHeight="1" spans="4:9">
      <c r="D866" s="59"/>
      <c r="I866" s="78"/>
    </row>
    <row r="867" ht="14.45" customHeight="1" spans="4:9">
      <c r="D867" s="59"/>
      <c r="I867" s="78"/>
    </row>
    <row r="868" ht="14.45" customHeight="1" spans="4:9">
      <c r="D868" s="59"/>
      <c r="I868" s="78"/>
    </row>
    <row r="869" ht="14.45" customHeight="1" spans="4:9">
      <c r="D869" s="59"/>
      <c r="I869" s="78"/>
    </row>
    <row r="870" ht="14.45" customHeight="1" spans="4:9">
      <c r="D870" s="59"/>
      <c r="I870" s="78"/>
    </row>
    <row r="871" ht="14.45" customHeight="1" spans="4:9">
      <c r="D871" s="59"/>
      <c r="I871" s="78"/>
    </row>
    <row r="872" ht="14.45" customHeight="1" spans="4:9">
      <c r="D872" s="59"/>
      <c r="I872" s="78"/>
    </row>
    <row r="873" ht="14.45" customHeight="1" spans="4:9">
      <c r="D873" s="59"/>
      <c r="I873" s="78"/>
    </row>
    <row r="874" ht="14.45" customHeight="1" spans="4:9">
      <c r="D874" s="59"/>
      <c r="I874" s="78"/>
    </row>
    <row r="875" ht="14.45" customHeight="1" spans="4:9">
      <c r="D875" s="59"/>
      <c r="I875" s="78"/>
    </row>
    <row r="876" ht="14.45" customHeight="1" spans="4:9">
      <c r="D876" s="59"/>
      <c r="I876" s="78"/>
    </row>
    <row r="877" ht="14.45" customHeight="1" spans="4:9">
      <c r="D877" s="59"/>
      <c r="I877" s="78"/>
    </row>
    <row r="878" ht="14.45" customHeight="1" spans="4:9">
      <c r="D878" s="59"/>
      <c r="I878" s="78"/>
    </row>
    <row r="879" ht="14.45" customHeight="1" spans="4:9">
      <c r="D879" s="59"/>
      <c r="I879" s="78"/>
    </row>
    <row r="880" ht="14.45" customHeight="1" spans="4:9">
      <c r="D880" s="59"/>
      <c r="I880" s="78"/>
    </row>
    <row r="881" ht="14.45" customHeight="1" spans="4:9">
      <c r="D881" s="59"/>
      <c r="I881" s="78"/>
    </row>
    <row r="882" ht="14.45" customHeight="1" spans="4:9">
      <c r="D882" s="59"/>
      <c r="I882" s="78"/>
    </row>
    <row r="883" ht="14.45" customHeight="1" spans="4:9">
      <c r="D883" s="59"/>
      <c r="I883" s="78"/>
    </row>
    <row r="884" ht="14.45" customHeight="1" spans="4:9">
      <c r="D884" s="59"/>
      <c r="I884" s="78"/>
    </row>
    <row r="885" ht="14.45" customHeight="1" spans="4:9">
      <c r="D885" s="59"/>
      <c r="I885" s="78"/>
    </row>
    <row r="886" ht="14.45" customHeight="1" spans="4:9">
      <c r="D886" s="59"/>
      <c r="I886" s="78"/>
    </row>
    <row r="887" ht="14.45" customHeight="1" spans="4:9">
      <c r="D887" s="59"/>
      <c r="I887" s="78"/>
    </row>
    <row r="888" ht="14.45" customHeight="1" spans="4:9">
      <c r="D888" s="59"/>
      <c r="I888" s="78"/>
    </row>
    <row r="889" ht="14.45" customHeight="1" spans="4:9">
      <c r="D889" s="59"/>
      <c r="I889" s="78"/>
    </row>
    <row r="890" ht="14.45" customHeight="1" spans="4:9">
      <c r="D890" s="59"/>
      <c r="I890" s="78"/>
    </row>
    <row r="891" ht="14.45" customHeight="1" spans="4:9">
      <c r="D891" s="59"/>
      <c r="I891" s="78"/>
    </row>
    <row r="892" ht="14.45" customHeight="1" spans="4:9">
      <c r="D892" s="59"/>
      <c r="I892" s="78"/>
    </row>
    <row r="893" ht="14.45" customHeight="1" spans="4:9">
      <c r="D893" s="59"/>
      <c r="I893" s="78"/>
    </row>
    <row r="894" ht="14.45" customHeight="1" spans="4:9">
      <c r="D894" s="59"/>
      <c r="I894" s="78"/>
    </row>
    <row r="895" ht="14.45" customHeight="1" spans="4:9">
      <c r="D895" s="59"/>
      <c r="I895" s="78"/>
    </row>
    <row r="896" ht="14.45" customHeight="1" spans="4:9">
      <c r="D896" s="59"/>
      <c r="I896" s="78"/>
    </row>
    <row r="897" ht="14.45" customHeight="1" spans="4:9">
      <c r="D897" s="59"/>
      <c r="I897" s="78"/>
    </row>
    <row r="898" ht="14.45" customHeight="1" spans="4:9">
      <c r="D898" s="59"/>
      <c r="I898" s="78"/>
    </row>
    <row r="899" ht="14.45" customHeight="1" spans="4:9">
      <c r="D899" s="59"/>
      <c r="I899" s="78"/>
    </row>
    <row r="900" ht="14.45" customHeight="1" spans="4:9">
      <c r="D900" s="59"/>
      <c r="I900" s="78"/>
    </row>
    <row r="901" ht="14.45" customHeight="1" spans="4:9">
      <c r="D901" s="59"/>
      <c r="I901" s="78"/>
    </row>
    <row r="902" ht="14.45" customHeight="1" spans="4:9">
      <c r="D902" s="59"/>
      <c r="I902" s="78"/>
    </row>
    <row r="903" ht="14.45" customHeight="1" spans="4:9">
      <c r="D903" s="59"/>
      <c r="I903" s="78"/>
    </row>
    <row r="904" ht="14.45" customHeight="1" spans="4:9">
      <c r="D904" s="59"/>
      <c r="I904" s="78"/>
    </row>
    <row r="905" ht="14.45" customHeight="1" spans="4:9">
      <c r="D905" s="59"/>
      <c r="I905" s="78"/>
    </row>
    <row r="906" ht="14.45" customHeight="1" spans="4:9">
      <c r="D906" s="59"/>
      <c r="I906" s="78"/>
    </row>
    <row r="907" ht="14.45" customHeight="1" spans="4:9">
      <c r="D907" s="59"/>
      <c r="I907" s="78"/>
    </row>
    <row r="908" ht="14.45" customHeight="1" spans="4:9">
      <c r="D908" s="59"/>
      <c r="I908" s="78"/>
    </row>
    <row r="909" ht="14.45" customHeight="1" spans="4:9">
      <c r="D909" s="59"/>
      <c r="I909" s="78"/>
    </row>
    <row r="910" ht="14.45" customHeight="1" spans="4:9">
      <c r="D910" s="59"/>
      <c r="I910" s="78"/>
    </row>
    <row r="911" ht="14.45" customHeight="1" spans="4:9">
      <c r="D911" s="59"/>
      <c r="I911" s="78"/>
    </row>
    <row r="912" ht="14.45" customHeight="1" spans="4:9">
      <c r="D912" s="59"/>
      <c r="I912" s="78"/>
    </row>
    <row r="913" ht="14.45" customHeight="1" spans="4:9">
      <c r="D913" s="59"/>
      <c r="I913" s="78"/>
    </row>
    <row r="914" ht="14.45" customHeight="1" spans="4:9">
      <c r="D914" s="59"/>
      <c r="I914" s="78"/>
    </row>
    <row r="915" ht="14.45" customHeight="1" spans="4:9">
      <c r="D915" s="59"/>
      <c r="I915" s="78"/>
    </row>
    <row r="916" ht="14.45" customHeight="1" spans="4:9">
      <c r="D916" s="59"/>
      <c r="I916" s="78"/>
    </row>
    <row r="917" ht="14.45" customHeight="1" spans="4:9">
      <c r="D917" s="59"/>
      <c r="I917" s="78"/>
    </row>
    <row r="918" ht="14.45" customHeight="1" spans="4:9">
      <c r="D918" s="59"/>
      <c r="I918" s="78"/>
    </row>
    <row r="919" ht="14.45" customHeight="1" spans="4:9">
      <c r="D919" s="59"/>
      <c r="I919" s="78"/>
    </row>
    <row r="920" ht="14.45" customHeight="1" spans="4:9">
      <c r="D920" s="59"/>
      <c r="I920" s="78"/>
    </row>
    <row r="921" ht="14.45" customHeight="1" spans="4:9">
      <c r="D921" s="59"/>
      <c r="I921" s="78"/>
    </row>
    <row r="922" ht="14.45" customHeight="1" spans="4:9">
      <c r="D922" s="59"/>
      <c r="I922" s="78"/>
    </row>
    <row r="923" ht="14.45" customHeight="1" spans="4:9">
      <c r="D923" s="59"/>
      <c r="I923" s="78"/>
    </row>
    <row r="924" ht="14.45" customHeight="1" spans="4:9">
      <c r="D924" s="59"/>
      <c r="I924" s="78"/>
    </row>
    <row r="925" ht="14.45" customHeight="1" spans="4:9">
      <c r="D925" s="59"/>
      <c r="I925" s="78"/>
    </row>
    <row r="926" ht="14.45" customHeight="1" spans="4:9">
      <c r="D926" s="59"/>
      <c r="I926" s="78"/>
    </row>
    <row r="927" ht="14.45" customHeight="1" spans="4:9">
      <c r="D927" s="59"/>
      <c r="I927" s="78"/>
    </row>
    <row r="928" ht="14.45" customHeight="1" spans="4:9">
      <c r="D928" s="59"/>
      <c r="I928" s="78"/>
    </row>
    <row r="929" ht="14.45" customHeight="1" spans="4:9">
      <c r="D929" s="59"/>
      <c r="I929" s="78"/>
    </row>
    <row r="930" ht="14.45" customHeight="1" spans="4:9">
      <c r="D930" s="59"/>
      <c r="I930" s="78"/>
    </row>
    <row r="931" ht="14.45" customHeight="1" spans="4:9">
      <c r="D931" s="59"/>
      <c r="I931" s="78"/>
    </row>
    <row r="932" ht="14.45" customHeight="1" spans="4:9">
      <c r="D932" s="59"/>
      <c r="I932" s="78"/>
    </row>
    <row r="933" ht="14.45" customHeight="1" spans="4:9">
      <c r="D933" s="59"/>
      <c r="I933" s="78"/>
    </row>
    <row r="934" ht="14.45" customHeight="1" spans="4:9">
      <c r="D934" s="59"/>
      <c r="I934" s="78"/>
    </row>
    <row r="935" ht="14.45" customHeight="1" spans="4:9">
      <c r="D935" s="59"/>
      <c r="I935" s="78"/>
    </row>
    <row r="936" ht="14.45" customHeight="1" spans="4:9">
      <c r="D936" s="59"/>
      <c r="I936" s="78"/>
    </row>
    <row r="937" ht="14.45" customHeight="1" spans="4:9">
      <c r="D937" s="59"/>
      <c r="I937" s="78"/>
    </row>
    <row r="938" ht="14.45" customHeight="1" spans="4:9">
      <c r="D938" s="59"/>
      <c r="I938" s="78"/>
    </row>
    <row r="939" ht="14.45" customHeight="1" spans="4:9">
      <c r="D939" s="59"/>
      <c r="I939" s="78"/>
    </row>
    <row r="940" ht="14.45" customHeight="1" spans="4:9">
      <c r="D940" s="59"/>
      <c r="I940" s="78"/>
    </row>
    <row r="941" ht="14.45" customHeight="1" spans="4:9">
      <c r="D941" s="59"/>
      <c r="I941" s="78"/>
    </row>
    <row r="942" ht="14.45" customHeight="1" spans="4:9">
      <c r="D942" s="59"/>
      <c r="I942" s="78"/>
    </row>
    <row r="943" ht="14.45" customHeight="1" spans="4:9">
      <c r="D943" s="59"/>
      <c r="I943" s="78"/>
    </row>
    <row r="944" ht="14.45" customHeight="1" spans="4:9">
      <c r="D944" s="59"/>
      <c r="I944" s="78"/>
    </row>
    <row r="945" ht="14.45" customHeight="1" spans="4:9">
      <c r="D945" s="59"/>
      <c r="I945" s="78"/>
    </row>
    <row r="946" ht="14.45" customHeight="1" spans="4:9">
      <c r="D946" s="59"/>
      <c r="I946" s="78"/>
    </row>
    <row r="947" ht="14.45" customHeight="1" spans="4:9">
      <c r="D947" s="59"/>
      <c r="I947" s="78"/>
    </row>
    <row r="948" ht="14.45" customHeight="1" spans="4:9">
      <c r="D948" s="59"/>
      <c r="I948" s="78"/>
    </row>
    <row r="949" ht="14.45" customHeight="1" spans="4:9">
      <c r="D949" s="59"/>
      <c r="I949" s="78"/>
    </row>
    <row r="950" ht="14.45" customHeight="1" spans="4:9">
      <c r="D950" s="59"/>
      <c r="I950" s="78"/>
    </row>
    <row r="951" ht="14.45" customHeight="1" spans="4:9">
      <c r="D951" s="59"/>
      <c r="I951" s="78"/>
    </row>
    <row r="952" ht="14.45" customHeight="1" spans="4:9">
      <c r="D952" s="59"/>
      <c r="I952" s="78"/>
    </row>
    <row r="953" ht="14.45" customHeight="1" spans="4:9">
      <c r="D953" s="59"/>
      <c r="I953" s="78"/>
    </row>
    <row r="954" ht="14.45" customHeight="1" spans="4:9">
      <c r="D954" s="59"/>
      <c r="I954" s="78"/>
    </row>
    <row r="955" ht="14.45" customHeight="1" spans="4:9">
      <c r="D955" s="59"/>
      <c r="I955" s="78"/>
    </row>
    <row r="956" ht="14.45" customHeight="1" spans="4:9">
      <c r="D956" s="59"/>
      <c r="I956" s="78"/>
    </row>
    <row r="957" ht="14.45" customHeight="1" spans="4:9">
      <c r="D957" s="59"/>
      <c r="I957" s="78"/>
    </row>
    <row r="958" ht="14.45" customHeight="1" spans="4:9">
      <c r="D958" s="59"/>
      <c r="I958" s="78"/>
    </row>
    <row r="959" ht="14.45" customHeight="1" spans="4:9">
      <c r="D959" s="59"/>
      <c r="I959" s="78"/>
    </row>
    <row r="960" ht="14.45" customHeight="1" spans="4:9">
      <c r="D960" s="59"/>
      <c r="I960" s="78"/>
    </row>
    <row r="961" ht="14.45" customHeight="1" spans="4:9">
      <c r="D961" s="59"/>
      <c r="I961" s="78"/>
    </row>
    <row r="962" ht="14.45" customHeight="1" spans="4:9">
      <c r="D962" s="59"/>
      <c r="I962" s="78"/>
    </row>
    <row r="963" ht="14.45" customHeight="1" spans="4:9">
      <c r="D963" s="59"/>
      <c r="I963" s="78"/>
    </row>
    <row r="964" ht="14.45" customHeight="1" spans="4:9">
      <c r="D964" s="59"/>
      <c r="I964" s="78"/>
    </row>
    <row r="965" ht="14.45" customHeight="1" spans="4:9">
      <c r="D965" s="59"/>
      <c r="I965" s="78"/>
    </row>
    <row r="966" ht="14.45" customHeight="1" spans="4:9">
      <c r="D966" s="59"/>
      <c r="I966" s="78"/>
    </row>
    <row r="967" ht="14.45" customHeight="1" spans="4:9">
      <c r="D967" s="59"/>
      <c r="I967" s="78"/>
    </row>
    <row r="968" ht="14.45" customHeight="1" spans="4:9">
      <c r="D968" s="59"/>
      <c r="I968" s="78"/>
    </row>
    <row r="969" ht="14.45" customHeight="1" spans="4:9">
      <c r="D969" s="59"/>
      <c r="I969" s="78"/>
    </row>
    <row r="970" ht="14.45" customHeight="1" spans="4:9">
      <c r="D970" s="59"/>
      <c r="I970" s="78"/>
    </row>
    <row r="971" ht="14.45" customHeight="1" spans="4:9">
      <c r="D971" s="59"/>
      <c r="I971" s="78"/>
    </row>
    <row r="972" ht="14.45" customHeight="1" spans="4:9">
      <c r="D972" s="59"/>
      <c r="I972" s="78"/>
    </row>
    <row r="973" ht="14.45" customHeight="1" spans="4:9">
      <c r="D973" s="59"/>
      <c r="I973" s="78"/>
    </row>
    <row r="974" ht="14.45" customHeight="1" spans="4:9">
      <c r="D974" s="59"/>
      <c r="I974" s="78"/>
    </row>
    <row r="975" ht="14.45" customHeight="1" spans="4:9">
      <c r="D975" s="59"/>
      <c r="I975" s="78"/>
    </row>
    <row r="976" ht="14.45" customHeight="1" spans="4:9">
      <c r="D976" s="59"/>
      <c r="I976" s="78"/>
    </row>
    <row r="977" ht="14.45" customHeight="1" spans="4:9">
      <c r="D977" s="59"/>
      <c r="I977" s="78"/>
    </row>
    <row r="978" ht="14.45" customHeight="1" spans="4:9">
      <c r="D978" s="59"/>
      <c r="I978" s="78"/>
    </row>
    <row r="979" ht="14.45" customHeight="1" spans="4:9">
      <c r="D979" s="59"/>
      <c r="I979" s="78"/>
    </row>
    <row r="980" ht="14.45" customHeight="1" spans="4:9">
      <c r="D980" s="59"/>
      <c r="I980" s="78"/>
    </row>
    <row r="981" ht="14.45" customHeight="1" spans="4:9">
      <c r="D981" s="59"/>
      <c r="I981" s="78"/>
    </row>
    <row r="982" ht="14.45" customHeight="1" spans="4:9">
      <c r="D982" s="59"/>
      <c r="I982" s="78"/>
    </row>
    <row r="983" ht="14.45" customHeight="1" spans="4:9">
      <c r="D983" s="59"/>
      <c r="I983" s="78"/>
    </row>
    <row r="984" ht="14.45" customHeight="1" spans="4:9">
      <c r="D984" s="59"/>
      <c r="I984" s="78"/>
    </row>
    <row r="985" ht="14.45" customHeight="1" spans="4:9">
      <c r="D985" s="59"/>
      <c r="I985" s="78"/>
    </row>
    <row r="986" ht="14.45" customHeight="1" spans="4:9">
      <c r="D986" s="59"/>
      <c r="I986" s="78"/>
    </row>
    <row r="987" ht="14.45" customHeight="1" spans="4:9">
      <c r="D987" s="59"/>
      <c r="I987" s="78"/>
    </row>
    <row r="988" ht="14.45" customHeight="1" spans="4:9">
      <c r="D988" s="59"/>
      <c r="I988" s="78"/>
    </row>
    <row r="989" ht="14.45" customHeight="1" spans="4:9">
      <c r="D989" s="59"/>
      <c r="I989" s="78"/>
    </row>
    <row r="990" ht="14.45" customHeight="1" spans="4:9">
      <c r="D990" s="59"/>
      <c r="I990" s="78"/>
    </row>
    <row r="991" ht="14.45" customHeight="1" spans="4:9">
      <c r="D991" s="59"/>
      <c r="I991" s="78"/>
    </row>
    <row r="992" ht="14.45" customHeight="1" spans="4:9">
      <c r="D992" s="59"/>
      <c r="I992" s="78"/>
    </row>
    <row r="993" ht="14.45" customHeight="1" spans="4:9">
      <c r="D993" s="59"/>
      <c r="I993" s="78"/>
    </row>
    <row r="994" ht="14.45" customHeight="1" spans="4:9">
      <c r="D994" s="59"/>
      <c r="I994" s="78"/>
    </row>
    <row r="995" ht="14.45" customHeight="1" spans="4:9">
      <c r="D995" s="59"/>
      <c r="I995" s="78"/>
    </row>
    <row r="996" ht="14.45" customHeight="1" spans="4:9">
      <c r="D996" s="59"/>
      <c r="I996" s="78"/>
    </row>
    <row r="997" ht="14.45" customHeight="1" spans="4:9">
      <c r="D997" s="59"/>
      <c r="I997" s="78"/>
    </row>
    <row r="998" ht="14.45" customHeight="1" spans="4:9">
      <c r="D998" s="59"/>
      <c r="I998" s="78"/>
    </row>
    <row r="999" ht="14.45" customHeight="1" spans="4:9">
      <c r="D999" s="59"/>
      <c r="I999" s="78"/>
    </row>
    <row r="1000" ht="14.45" customHeight="1" spans="4:9">
      <c r="D1000" s="59"/>
      <c r="I1000" s="78"/>
    </row>
    <row r="1001" ht="14.45" customHeight="1" spans="4:9">
      <c r="D1001" s="59"/>
      <c r="I1001" s="78"/>
    </row>
    <row r="1002" ht="14.45" customHeight="1" spans="4:9">
      <c r="D1002" s="59"/>
      <c r="I1002" s="78"/>
    </row>
    <row r="1003" ht="14.45" customHeight="1" spans="4:9">
      <c r="D1003" s="59"/>
      <c r="I1003" s="78"/>
    </row>
    <row r="1004" ht="14.45" customHeight="1" spans="4:9">
      <c r="D1004" s="59"/>
      <c r="I1004" s="78"/>
    </row>
    <row r="1005" ht="14.45" customHeight="1" spans="4:9">
      <c r="D1005" s="59"/>
      <c r="I1005" s="78"/>
    </row>
    <row r="1006" ht="14.45" customHeight="1" spans="4:9">
      <c r="D1006" s="59"/>
      <c r="I1006" s="78"/>
    </row>
    <row r="1007" ht="14.45" customHeight="1" spans="4:9">
      <c r="D1007" s="59"/>
      <c r="I1007" s="78"/>
    </row>
    <row r="1008" ht="14.45" customHeight="1" spans="4:9">
      <c r="D1008" s="59"/>
      <c r="I1008" s="78"/>
    </row>
    <row r="1009" ht="14.45" customHeight="1" spans="4:9">
      <c r="D1009" s="59"/>
      <c r="I1009" s="78"/>
    </row>
    <row r="1010" ht="14.45" customHeight="1" spans="4:9">
      <c r="D1010" s="59"/>
      <c r="I1010" s="78"/>
    </row>
    <row r="1011" ht="14.45" customHeight="1" spans="4:9">
      <c r="D1011" s="59"/>
      <c r="I1011" s="78"/>
    </row>
    <row r="1012" ht="14.45" customHeight="1" spans="4:9">
      <c r="D1012" s="59"/>
      <c r="I1012" s="78"/>
    </row>
    <row r="1013" ht="14.45" customHeight="1" spans="4:9">
      <c r="D1013" s="59"/>
      <c r="I1013" s="78"/>
    </row>
    <row r="1014" ht="14.45" customHeight="1" spans="4:9">
      <c r="D1014" s="59"/>
      <c r="I1014" s="78"/>
    </row>
    <row r="1015" ht="14.45" customHeight="1" spans="4:9">
      <c r="D1015" s="59"/>
      <c r="I1015" s="78"/>
    </row>
    <row r="1016" ht="14.45" customHeight="1" spans="4:9">
      <c r="D1016" s="59"/>
      <c r="I1016" s="78"/>
    </row>
    <row r="1017" ht="14.45" customHeight="1" spans="4:9">
      <c r="D1017" s="59"/>
      <c r="I1017" s="78"/>
    </row>
    <row r="1018" ht="14.45" customHeight="1" spans="4:9">
      <c r="D1018" s="59"/>
      <c r="I1018" s="78"/>
    </row>
    <row r="1019" ht="14.45" customHeight="1" spans="4:9">
      <c r="D1019" s="59"/>
      <c r="I1019" s="78"/>
    </row>
    <row r="1020" ht="14.45" customHeight="1" spans="4:9">
      <c r="D1020" s="59"/>
      <c r="I1020" s="78"/>
    </row>
    <row r="1021" ht="14.45" customHeight="1" spans="4:9">
      <c r="D1021" s="59"/>
      <c r="I1021" s="78"/>
    </row>
    <row r="1022" ht="14.45" customHeight="1" spans="4:9">
      <c r="D1022" s="59"/>
      <c r="I1022" s="78"/>
    </row>
    <row r="1023" ht="14.45" customHeight="1" spans="4:9">
      <c r="D1023" s="59"/>
      <c r="I1023" s="78"/>
    </row>
    <row r="1024" ht="14.45" customHeight="1" spans="4:9">
      <c r="D1024" s="59"/>
      <c r="I1024" s="78"/>
    </row>
    <row r="1025" ht="14.45" customHeight="1" spans="4:9">
      <c r="D1025" s="59"/>
      <c r="I1025" s="78"/>
    </row>
    <row r="1026" ht="14.45" customHeight="1" spans="4:9">
      <c r="D1026" s="59"/>
      <c r="I1026" s="78"/>
    </row>
    <row r="1027" ht="14.45" customHeight="1" spans="4:9">
      <c r="D1027" s="59"/>
      <c r="I1027" s="78"/>
    </row>
    <row r="1028" ht="14.45" customHeight="1" spans="4:9">
      <c r="D1028" s="59"/>
      <c r="I1028" s="78"/>
    </row>
    <row r="1029" ht="14.45" customHeight="1" spans="4:9">
      <c r="D1029" s="59"/>
      <c r="I1029" s="78"/>
    </row>
    <row r="1030" ht="14.45" customHeight="1" spans="4:9">
      <c r="D1030" s="59"/>
      <c r="I1030" s="78"/>
    </row>
    <row r="1031" ht="14.45" customHeight="1" spans="4:9">
      <c r="D1031" s="59"/>
      <c r="I1031" s="78"/>
    </row>
    <row r="1032" ht="14.45" customHeight="1" spans="4:9">
      <c r="D1032" s="59"/>
      <c r="I1032" s="78"/>
    </row>
    <row r="1033" ht="14.45" customHeight="1" spans="4:9">
      <c r="D1033" s="59"/>
      <c r="I1033" s="78"/>
    </row>
    <row r="1034" ht="14.45" customHeight="1" spans="4:9">
      <c r="D1034" s="59"/>
      <c r="I1034" s="78"/>
    </row>
    <row r="1035" ht="14.45" customHeight="1" spans="4:9">
      <c r="D1035" s="59"/>
      <c r="I1035" s="78"/>
    </row>
    <row r="1036" ht="14.45" customHeight="1" spans="4:9">
      <c r="D1036" s="59"/>
      <c r="I1036" s="78"/>
    </row>
    <row r="1037" ht="14.45" customHeight="1" spans="4:9">
      <c r="D1037" s="59"/>
      <c r="I1037" s="78"/>
    </row>
    <row r="1038" ht="14.45" customHeight="1" spans="4:9">
      <c r="D1038" s="59"/>
      <c r="I1038" s="78"/>
    </row>
    <row r="1039" ht="14.45" customHeight="1" spans="4:9">
      <c r="D1039" s="59"/>
      <c r="I1039" s="78"/>
    </row>
    <row r="1040" ht="14.45" customHeight="1" spans="4:9">
      <c r="D1040" s="59"/>
      <c r="I1040" s="78"/>
    </row>
    <row r="1041" ht="14.45" customHeight="1" spans="4:9">
      <c r="D1041" s="59"/>
      <c r="I1041" s="78"/>
    </row>
    <row r="1042" ht="14.45" customHeight="1" spans="4:9">
      <c r="D1042" s="59"/>
      <c r="I1042" s="78"/>
    </row>
    <row r="1043" ht="14.45" customHeight="1" spans="4:9">
      <c r="D1043" s="59"/>
      <c r="I1043" s="78"/>
    </row>
    <row r="1044" ht="14.45" customHeight="1" spans="4:9">
      <c r="D1044" s="59"/>
      <c r="I1044" s="78"/>
    </row>
    <row r="1045" ht="14.45" customHeight="1" spans="4:9">
      <c r="D1045" s="59"/>
      <c r="I1045" s="78"/>
    </row>
    <row r="1046" ht="14.45" customHeight="1" spans="4:9">
      <c r="D1046" s="59"/>
      <c r="I1046" s="78"/>
    </row>
    <row r="1047" ht="14.45" customHeight="1" spans="4:9">
      <c r="D1047" s="59"/>
      <c r="I1047" s="78"/>
    </row>
    <row r="1048" ht="14.45" customHeight="1" spans="4:9">
      <c r="D1048" s="59"/>
      <c r="I1048" s="78"/>
    </row>
    <row r="1049" ht="14.45" customHeight="1" spans="4:9">
      <c r="D1049" s="59"/>
      <c r="I1049" s="78"/>
    </row>
    <row r="1050" ht="14.45" customHeight="1" spans="4:9">
      <c r="D1050" s="59"/>
      <c r="I1050" s="78"/>
    </row>
    <row r="1051" ht="14.45" customHeight="1" spans="4:9">
      <c r="D1051" s="59"/>
      <c r="I1051" s="78"/>
    </row>
    <row r="1052" ht="14.45" customHeight="1" spans="4:9">
      <c r="D1052" s="59"/>
      <c r="I1052" s="78"/>
    </row>
    <row r="1053" ht="14.45" customHeight="1" spans="4:9">
      <c r="D1053" s="59"/>
      <c r="I1053" s="78"/>
    </row>
    <row r="1054" ht="14.45" customHeight="1" spans="4:9">
      <c r="D1054" s="59"/>
      <c r="I1054" s="78"/>
    </row>
    <row r="1055" ht="14.45" customHeight="1" spans="4:9">
      <c r="D1055" s="59"/>
      <c r="I1055" s="78"/>
    </row>
    <row r="1056" ht="14.45" customHeight="1" spans="4:9">
      <c r="D1056" s="59"/>
      <c r="I1056" s="78"/>
    </row>
    <row r="1057" ht="14.45" customHeight="1" spans="4:9">
      <c r="D1057" s="59"/>
      <c r="I1057" s="78"/>
    </row>
    <row r="1058" ht="14.45" customHeight="1" spans="4:9">
      <c r="D1058" s="59"/>
      <c r="I1058" s="78"/>
    </row>
    <row r="1059" ht="14.45" customHeight="1" spans="4:9">
      <c r="D1059" s="59"/>
      <c r="I1059" s="78"/>
    </row>
    <row r="1060" ht="14.45" customHeight="1" spans="4:9">
      <c r="D1060" s="59"/>
      <c r="I1060" s="78"/>
    </row>
    <row r="1061" ht="14.45" customHeight="1" spans="4:9">
      <c r="D1061" s="59"/>
      <c r="I1061" s="78"/>
    </row>
    <row r="1062" ht="14.45" customHeight="1" spans="4:9">
      <c r="D1062" s="59"/>
      <c r="I1062" s="78"/>
    </row>
    <row r="1063" ht="14.45" customHeight="1" spans="4:9">
      <c r="D1063" s="59"/>
      <c r="I1063" s="78"/>
    </row>
    <row r="1064" ht="14.45" customHeight="1" spans="4:9">
      <c r="D1064" s="59"/>
      <c r="I1064" s="78"/>
    </row>
    <row r="1065" ht="14.45" customHeight="1" spans="4:9">
      <c r="D1065" s="59"/>
      <c r="I1065" s="78"/>
    </row>
    <row r="1066" ht="14.45" customHeight="1" spans="4:9">
      <c r="D1066" s="59"/>
      <c r="I1066" s="78"/>
    </row>
    <row r="1067" ht="14.45" customHeight="1" spans="4:9">
      <c r="D1067" s="59"/>
      <c r="I1067" s="78"/>
    </row>
    <row r="1068" ht="14.45" customHeight="1" spans="4:9">
      <c r="D1068" s="59"/>
      <c r="I1068" s="78"/>
    </row>
    <row r="1069" ht="14.45" customHeight="1" spans="4:9">
      <c r="D1069" s="59"/>
      <c r="I1069" s="78"/>
    </row>
    <row r="1070" ht="14.45" customHeight="1" spans="4:9">
      <c r="D1070" s="59"/>
      <c r="I1070" s="78"/>
    </row>
    <row r="1071" ht="14.45" customHeight="1" spans="4:9">
      <c r="D1071" s="59"/>
      <c r="I1071" s="78"/>
    </row>
    <row r="1072" ht="14.45" customHeight="1" spans="4:9">
      <c r="D1072" s="59"/>
      <c r="I1072" s="78"/>
    </row>
    <row r="1073" ht="14.45" customHeight="1" spans="4:9">
      <c r="D1073" s="59"/>
      <c r="I1073" s="78"/>
    </row>
    <row r="1074" ht="14.45" customHeight="1" spans="4:9">
      <c r="D1074" s="59"/>
      <c r="I1074" s="78"/>
    </row>
    <row r="1075" ht="14.45" customHeight="1" spans="4:9">
      <c r="D1075" s="59"/>
      <c r="I1075" s="78"/>
    </row>
    <row r="1076" ht="14.45" customHeight="1" spans="4:9">
      <c r="D1076" s="59"/>
      <c r="I1076" s="78"/>
    </row>
    <row r="1077" ht="14.45" customHeight="1" spans="4:9">
      <c r="D1077" s="59"/>
      <c r="I1077" s="78"/>
    </row>
    <row r="1078" ht="14.45" customHeight="1" spans="4:9">
      <c r="D1078" s="59"/>
      <c r="I1078" s="78"/>
    </row>
    <row r="1079" ht="14.45" customHeight="1" spans="4:9">
      <c r="D1079" s="59"/>
      <c r="I1079" s="78"/>
    </row>
    <row r="1080" ht="14.45" customHeight="1" spans="4:9">
      <c r="D1080" s="59"/>
      <c r="I1080" s="78"/>
    </row>
    <row r="1081" ht="14.45" customHeight="1" spans="4:9">
      <c r="D1081" s="59"/>
      <c r="I1081" s="78"/>
    </row>
    <row r="1082" ht="14.45" customHeight="1" spans="4:9">
      <c r="D1082" s="59"/>
      <c r="I1082" s="78"/>
    </row>
    <row r="1083" ht="14.45" customHeight="1" spans="4:9">
      <c r="D1083" s="59"/>
      <c r="I1083" s="78"/>
    </row>
    <row r="1084" ht="14.45" customHeight="1" spans="4:9">
      <c r="D1084" s="59"/>
      <c r="I1084" s="78"/>
    </row>
    <row r="1085" ht="14.45" customHeight="1" spans="4:9">
      <c r="D1085" s="59"/>
      <c r="I1085" s="78"/>
    </row>
    <row r="1086" ht="14.45" customHeight="1" spans="4:9">
      <c r="D1086" s="59"/>
      <c r="I1086" s="78"/>
    </row>
    <row r="1087" ht="14.45" customHeight="1" spans="4:9">
      <c r="D1087" s="59"/>
      <c r="I1087" s="78"/>
    </row>
    <row r="1088" ht="14.45" customHeight="1" spans="4:9">
      <c r="D1088" s="59"/>
      <c r="I1088" s="78"/>
    </row>
    <row r="1089" ht="14.45" customHeight="1" spans="4:9">
      <c r="D1089" s="59"/>
      <c r="I1089" s="78"/>
    </row>
    <row r="1090" ht="14.45" customHeight="1" spans="4:9">
      <c r="D1090" s="59"/>
      <c r="I1090" s="78"/>
    </row>
    <row r="1091" ht="14.45" customHeight="1" spans="4:9">
      <c r="D1091" s="59"/>
      <c r="I1091" s="78"/>
    </row>
    <row r="1092" ht="14.45" customHeight="1" spans="4:9">
      <c r="D1092" s="59"/>
      <c r="I1092" s="78"/>
    </row>
    <row r="1093" ht="14.45" customHeight="1" spans="4:9">
      <c r="D1093" s="59"/>
      <c r="I1093" s="78"/>
    </row>
    <row r="1094" ht="14.45" customHeight="1" spans="4:9">
      <c r="D1094" s="59"/>
      <c r="I1094" s="78"/>
    </row>
    <row r="1095" ht="14.45" customHeight="1" spans="4:9">
      <c r="D1095" s="59"/>
      <c r="I1095" s="78"/>
    </row>
    <row r="1096" ht="14.45" customHeight="1" spans="4:9">
      <c r="D1096" s="59"/>
      <c r="I1096" s="78"/>
    </row>
    <row r="1097" ht="14.45" customHeight="1" spans="4:9">
      <c r="D1097" s="59"/>
      <c r="I1097" s="78"/>
    </row>
    <row r="1098" ht="14.45" customHeight="1" spans="4:9">
      <c r="D1098" s="59"/>
      <c r="I1098" s="78"/>
    </row>
    <row r="1099" ht="14.45" customHeight="1" spans="4:9">
      <c r="D1099" s="59"/>
      <c r="I1099" s="78"/>
    </row>
    <row r="1100" ht="14.45" customHeight="1" spans="4:9">
      <c r="D1100" s="59"/>
      <c r="I1100" s="78"/>
    </row>
    <row r="1101" ht="14.45" customHeight="1" spans="4:9">
      <c r="D1101" s="59"/>
      <c r="I1101" s="78"/>
    </row>
    <row r="1102" ht="14.45" customHeight="1" spans="4:9">
      <c r="D1102" s="59"/>
      <c r="I1102" s="78"/>
    </row>
    <row r="1103" ht="14.45" customHeight="1" spans="4:9">
      <c r="D1103" s="59"/>
      <c r="I1103" s="78"/>
    </row>
    <row r="1104" ht="14.45" customHeight="1" spans="4:9">
      <c r="D1104" s="59"/>
      <c r="I1104" s="78"/>
    </row>
    <row r="1105" ht="14.45" customHeight="1" spans="4:9">
      <c r="D1105" s="59"/>
      <c r="I1105" s="78"/>
    </row>
    <row r="1106" ht="14.45" customHeight="1" spans="4:9">
      <c r="D1106" s="59"/>
      <c r="I1106" s="78"/>
    </row>
    <row r="1107" ht="14.45" customHeight="1" spans="4:9">
      <c r="D1107" s="59"/>
      <c r="I1107" s="78"/>
    </row>
    <row r="1108" ht="14.45" customHeight="1" spans="4:9">
      <c r="D1108" s="59"/>
      <c r="I1108" s="78"/>
    </row>
    <row r="1109" ht="14.45" customHeight="1" spans="4:9">
      <c r="D1109" s="59"/>
      <c r="I1109" s="78"/>
    </row>
    <row r="1110" ht="14.45" customHeight="1" spans="4:9">
      <c r="D1110" s="59"/>
      <c r="I1110" s="78"/>
    </row>
    <row r="1111" ht="14.45" customHeight="1" spans="4:9">
      <c r="D1111" s="59"/>
      <c r="I1111" s="78"/>
    </row>
    <row r="1112" ht="14.45" customHeight="1" spans="4:9">
      <c r="D1112" s="59"/>
      <c r="I1112" s="78"/>
    </row>
    <row r="1113" ht="14.45" customHeight="1" spans="4:9">
      <c r="D1113" s="59"/>
      <c r="I1113" s="78"/>
    </row>
    <row r="1114" ht="14.45" customHeight="1" spans="4:9">
      <c r="D1114" s="59"/>
      <c r="I1114" s="78"/>
    </row>
    <row r="1115" ht="14.45" customHeight="1" spans="4:9">
      <c r="D1115" s="59"/>
      <c r="I1115" s="78"/>
    </row>
    <row r="1116" ht="14.45" customHeight="1" spans="4:9">
      <c r="D1116" s="59"/>
      <c r="I1116" s="78"/>
    </row>
    <row r="1117" ht="14.45" customHeight="1" spans="4:9">
      <c r="D1117" s="59"/>
      <c r="I1117" s="78"/>
    </row>
    <row r="1118" ht="14.45" customHeight="1" spans="4:9">
      <c r="D1118" s="59"/>
      <c r="I1118" s="78"/>
    </row>
    <row r="1119" ht="14.45" customHeight="1" spans="4:9">
      <c r="D1119" s="59"/>
      <c r="I1119" s="78"/>
    </row>
    <row r="1120" ht="14.45" customHeight="1" spans="4:9">
      <c r="D1120" s="59"/>
      <c r="I1120" s="78"/>
    </row>
    <row r="1121" ht="14.45" customHeight="1" spans="4:9">
      <c r="D1121" s="59"/>
      <c r="I1121" s="78"/>
    </row>
    <row r="1122" ht="14.45" customHeight="1" spans="4:9">
      <c r="D1122" s="59"/>
      <c r="I1122" s="78"/>
    </row>
    <row r="1123" ht="14.45" customHeight="1" spans="4:9">
      <c r="D1123" s="59"/>
      <c r="I1123" s="78"/>
    </row>
    <row r="1124" ht="14.45" customHeight="1" spans="4:9">
      <c r="D1124" s="59"/>
      <c r="I1124" s="78"/>
    </row>
    <row r="1125" ht="14.45" customHeight="1" spans="4:9">
      <c r="D1125" s="59"/>
      <c r="I1125" s="78"/>
    </row>
    <row r="1126" ht="14.45" customHeight="1" spans="4:9">
      <c r="D1126" s="59"/>
      <c r="I1126" s="78"/>
    </row>
    <row r="1127" ht="14.45" customHeight="1" spans="4:9">
      <c r="D1127" s="59"/>
      <c r="I1127" s="78"/>
    </row>
    <row r="1128" ht="14.45" customHeight="1" spans="4:9">
      <c r="D1128" s="59"/>
      <c r="I1128" s="78"/>
    </row>
    <row r="1129" ht="14.45" customHeight="1" spans="4:9">
      <c r="D1129" s="59"/>
      <c r="I1129" s="78"/>
    </row>
    <row r="1130" ht="14.45" customHeight="1" spans="4:9">
      <c r="D1130" s="59"/>
      <c r="I1130" s="78"/>
    </row>
    <row r="1131" ht="14.45" customHeight="1" spans="4:9">
      <c r="D1131" s="59"/>
      <c r="I1131" s="78"/>
    </row>
    <row r="1132" ht="14.45" customHeight="1" spans="4:9">
      <c r="D1132" s="59"/>
      <c r="I1132" s="78"/>
    </row>
    <row r="1133" ht="14.45" customHeight="1" spans="4:9">
      <c r="D1133" s="59"/>
      <c r="I1133" s="78"/>
    </row>
    <row r="1134" ht="14.45" customHeight="1" spans="4:9">
      <c r="D1134" s="59"/>
      <c r="I1134" s="78"/>
    </row>
    <row r="1135" ht="14.45" customHeight="1" spans="4:9">
      <c r="D1135" s="59"/>
      <c r="I1135" s="78"/>
    </row>
    <row r="1136" ht="14.45" customHeight="1" spans="4:9">
      <c r="D1136" s="59"/>
      <c r="I1136" s="78"/>
    </row>
    <row r="1137" ht="14.45" customHeight="1" spans="4:9">
      <c r="D1137" s="59"/>
      <c r="I1137" s="78"/>
    </row>
    <row r="1138" ht="14.45" customHeight="1" spans="4:9">
      <c r="D1138" s="59"/>
      <c r="I1138" s="78"/>
    </row>
    <row r="1139" ht="14.45" customHeight="1" spans="4:9">
      <c r="D1139" s="59"/>
      <c r="I1139" s="78"/>
    </row>
    <row r="1140" ht="14.45" customHeight="1" spans="4:9">
      <c r="D1140" s="59"/>
      <c r="I1140" s="78"/>
    </row>
    <row r="1141" ht="14.45" customHeight="1" spans="4:9">
      <c r="D1141" s="59"/>
      <c r="I1141" s="78"/>
    </row>
    <row r="1142" ht="14.45" customHeight="1" spans="4:9">
      <c r="D1142" s="59"/>
      <c r="I1142" s="78"/>
    </row>
    <row r="1143" ht="14.45" customHeight="1" spans="4:9">
      <c r="D1143" s="59"/>
      <c r="I1143" s="78"/>
    </row>
    <row r="1144" ht="14.45" customHeight="1" spans="4:9">
      <c r="D1144" s="59"/>
      <c r="I1144" s="78"/>
    </row>
    <row r="1145" ht="14.45" customHeight="1" spans="4:9">
      <c r="D1145" s="59"/>
      <c r="I1145" s="78"/>
    </row>
    <row r="1146" ht="14.45" customHeight="1" spans="4:9">
      <c r="D1146" s="59"/>
      <c r="I1146" s="78"/>
    </row>
    <row r="1147" ht="14.45" customHeight="1" spans="4:9">
      <c r="D1147" s="59"/>
      <c r="I1147" s="78"/>
    </row>
    <row r="1148" ht="14.45" customHeight="1" spans="4:9">
      <c r="D1148" s="59"/>
      <c r="I1148" s="78"/>
    </row>
    <row r="1149" ht="14.45" customHeight="1" spans="4:9">
      <c r="D1149" s="59"/>
      <c r="I1149" s="78"/>
    </row>
    <row r="1150" ht="14.45" customHeight="1" spans="4:9">
      <c r="D1150" s="59"/>
      <c r="I1150" s="78"/>
    </row>
    <row r="1151" ht="14.45" customHeight="1" spans="4:9">
      <c r="D1151" s="59"/>
      <c r="I1151" s="78"/>
    </row>
    <row r="1152" ht="14.45" customHeight="1" spans="4:9">
      <c r="D1152" s="59"/>
      <c r="I1152" s="78"/>
    </row>
    <row r="1153" ht="14.45" customHeight="1" spans="4:9">
      <c r="D1153" s="59"/>
      <c r="I1153" s="78"/>
    </row>
    <row r="1154" ht="14.45" customHeight="1" spans="4:9">
      <c r="D1154" s="59"/>
      <c r="I1154" s="78"/>
    </row>
    <row r="1155" ht="14.45" customHeight="1" spans="4:9">
      <c r="D1155" s="59"/>
      <c r="I1155" s="78"/>
    </row>
    <row r="1156" ht="14.45" customHeight="1" spans="4:9">
      <c r="D1156" s="59"/>
      <c r="I1156" s="78"/>
    </row>
    <row r="1157" ht="14.45" customHeight="1" spans="4:9">
      <c r="D1157" s="59"/>
      <c r="I1157" s="78"/>
    </row>
    <row r="1158" ht="14.45" customHeight="1" spans="4:9">
      <c r="D1158" s="59"/>
      <c r="I1158" s="78"/>
    </row>
    <row r="1159" ht="14.45" customHeight="1" spans="4:9">
      <c r="D1159" s="59"/>
      <c r="I1159" s="78"/>
    </row>
    <row r="1160" ht="14.45" customHeight="1" spans="4:9">
      <c r="D1160" s="59"/>
      <c r="I1160" s="78"/>
    </row>
    <row r="1161" ht="14.45" customHeight="1" spans="4:9">
      <c r="D1161" s="59"/>
      <c r="I1161" s="78"/>
    </row>
    <row r="1162" ht="14.45" customHeight="1" spans="4:9">
      <c r="D1162" s="59"/>
      <c r="I1162" s="78"/>
    </row>
    <row r="1163" ht="14.45" customHeight="1" spans="4:9">
      <c r="D1163" s="59"/>
      <c r="I1163" s="78"/>
    </row>
    <row r="1164" ht="14.45" customHeight="1" spans="4:9">
      <c r="D1164" s="59"/>
      <c r="I1164" s="78"/>
    </row>
    <row r="1165" ht="14.45" customHeight="1" spans="4:9">
      <c r="D1165" s="59"/>
      <c r="I1165" s="78"/>
    </row>
    <row r="1166" ht="14.45" customHeight="1" spans="4:9">
      <c r="D1166" s="59"/>
      <c r="I1166" s="78"/>
    </row>
    <row r="1167" ht="14.45" customHeight="1" spans="4:9">
      <c r="D1167" s="59"/>
      <c r="I1167" s="78"/>
    </row>
    <row r="1168" ht="14.45" customHeight="1" spans="4:9">
      <c r="D1168" s="59"/>
      <c r="I1168" s="78"/>
    </row>
    <row r="1169" ht="14.45" customHeight="1" spans="4:9">
      <c r="D1169" s="59"/>
      <c r="I1169" s="78"/>
    </row>
    <row r="1170" ht="14.45" customHeight="1" spans="4:9">
      <c r="D1170" s="59"/>
      <c r="I1170" s="78"/>
    </row>
    <row r="1171" ht="14.45" customHeight="1" spans="4:9">
      <c r="D1171" s="59"/>
      <c r="I1171" s="78"/>
    </row>
    <row r="1172" ht="14.45" customHeight="1" spans="4:9">
      <c r="D1172" s="59"/>
      <c r="I1172" s="78"/>
    </row>
    <row r="1173" ht="14.45" customHeight="1" spans="4:9">
      <c r="D1173" s="59"/>
      <c r="I1173" s="78"/>
    </row>
    <row r="1174" ht="14.45" customHeight="1" spans="4:9">
      <c r="D1174" s="59"/>
      <c r="I1174" s="78"/>
    </row>
    <row r="1175" ht="14.45" customHeight="1" spans="4:9">
      <c r="D1175" s="59"/>
      <c r="I1175" s="78"/>
    </row>
    <row r="1176" ht="14.45" customHeight="1" spans="4:9">
      <c r="D1176" s="59"/>
      <c r="I1176" s="78"/>
    </row>
    <row r="1177" ht="14.45" customHeight="1" spans="4:9">
      <c r="D1177" s="59"/>
      <c r="I1177" s="78"/>
    </row>
    <row r="1178" ht="14.45" customHeight="1" spans="4:9">
      <c r="D1178" s="59"/>
      <c r="I1178" s="78"/>
    </row>
    <row r="1179" ht="14.45" customHeight="1" spans="4:9">
      <c r="D1179" s="59"/>
      <c r="I1179" s="78"/>
    </row>
    <row r="1180" ht="14.45" customHeight="1" spans="4:9">
      <c r="D1180" s="59"/>
      <c r="I1180" s="78"/>
    </row>
    <row r="1181" ht="14.45" customHeight="1" spans="4:9">
      <c r="D1181" s="59"/>
      <c r="I1181" s="78"/>
    </row>
    <row r="1182" ht="14.45" customHeight="1" spans="4:9">
      <c r="D1182" s="59"/>
      <c r="I1182" s="78"/>
    </row>
    <row r="1183" ht="14.45" customHeight="1" spans="4:9">
      <c r="D1183" s="59"/>
      <c r="I1183" s="78"/>
    </row>
    <row r="1184" ht="14.45" customHeight="1" spans="4:9">
      <c r="D1184" s="59"/>
      <c r="I1184" s="78"/>
    </row>
    <row r="1185" ht="14.45" customHeight="1" spans="4:9">
      <c r="D1185" s="59"/>
      <c r="I1185" s="78"/>
    </row>
    <row r="1186" ht="14.45" customHeight="1" spans="4:9">
      <c r="D1186" s="59"/>
      <c r="I1186" s="78"/>
    </row>
    <row r="1187" ht="14.45" customHeight="1" spans="4:9">
      <c r="D1187" s="59"/>
      <c r="I1187" s="78"/>
    </row>
    <row r="1188" ht="14.45" customHeight="1" spans="4:9">
      <c r="D1188" s="59"/>
      <c r="I1188" s="78"/>
    </row>
    <row r="1189" ht="14.45" customHeight="1" spans="4:9">
      <c r="D1189" s="59"/>
      <c r="I1189" s="78"/>
    </row>
    <row r="1190" ht="14.45" customHeight="1" spans="4:9">
      <c r="D1190" s="59"/>
      <c r="I1190" s="78"/>
    </row>
    <row r="1191" ht="14.45" customHeight="1" spans="4:9">
      <c r="D1191" s="59"/>
      <c r="I1191" s="78"/>
    </row>
    <row r="1192" ht="14.45" customHeight="1" spans="4:9">
      <c r="D1192" s="59"/>
      <c r="I1192" s="78"/>
    </row>
    <row r="1193" ht="14.45" customHeight="1" spans="4:9">
      <c r="D1193" s="59"/>
      <c r="I1193" s="78"/>
    </row>
    <row r="1194" ht="14.45" customHeight="1" spans="4:9">
      <c r="D1194" s="59"/>
      <c r="I1194" s="78"/>
    </row>
    <row r="1195" ht="14.45" customHeight="1" spans="4:9">
      <c r="D1195" s="59"/>
      <c r="I1195" s="78"/>
    </row>
    <row r="1196" ht="14.45" customHeight="1" spans="4:9">
      <c r="D1196" s="59"/>
      <c r="I1196" s="78"/>
    </row>
    <row r="1197" ht="14.45" customHeight="1" spans="4:9">
      <c r="D1197" s="59"/>
      <c r="I1197" s="78"/>
    </row>
    <row r="1198" ht="14.45" customHeight="1" spans="4:9">
      <c r="D1198" s="59"/>
      <c r="I1198" s="78"/>
    </row>
    <row r="1199" ht="14.45" customHeight="1" spans="4:9">
      <c r="D1199" s="59"/>
      <c r="I1199" s="78"/>
    </row>
    <row r="1200" ht="14.45" customHeight="1"/>
    <row r="1201" ht="14.45" customHeight="1"/>
    <row r="1202" ht="14.45" customHeight="1"/>
    <row r="1203" ht="14.45" customHeight="1"/>
    <row r="1204" ht="14.45" customHeight="1"/>
    <row r="1205" ht="14.45" customHeight="1"/>
    <row r="1206" ht="14.45" customHeight="1"/>
    <row r="1207" ht="14.45" customHeight="1"/>
    <row r="1208" ht="14.45" customHeight="1"/>
    <row r="1209" ht="14.45" customHeight="1"/>
    <row r="1210" ht="14.45" customHeight="1"/>
    <row r="1211" ht="14.45" customHeight="1"/>
    <row r="1212" ht="14.45" customHeight="1"/>
    <row r="1213" ht="14.45" customHeight="1"/>
    <row r="1214" ht="14.45" customHeight="1"/>
    <row r="1215" ht="14.45" customHeight="1"/>
    <row r="1216" ht="14.45" customHeight="1"/>
    <row r="1217" ht="14.45" customHeight="1"/>
    <row r="1218" ht="14.45" customHeight="1"/>
    <row r="1219" ht="14.45" customHeight="1"/>
    <row r="1220" ht="14.45" customHeight="1"/>
    <row r="1221" ht="14.45" customHeight="1"/>
    <row r="1222" ht="14.45" customHeight="1"/>
    <row r="1223" ht="14.45" customHeight="1"/>
  </sheetData>
  <conditionalFormatting sqref="D1">
    <cfRule type="containsText" dxfId="0" priority="3" operator="between" text=" ">
      <formula>NOT(ISERROR(SEARCH(" ",D1)))</formula>
    </cfRule>
  </conditionalFormatting>
  <conditionalFormatting sqref="A4:B4">
    <cfRule type="containsText" dxfId="0" priority="2" operator="between" text=" ">
      <formula>NOT(ISERROR(SEARCH(" ",A4)))</formula>
    </cfRule>
  </conditionalFormatting>
  <conditionalFormatting sqref="A8:C8">
    <cfRule type="containsText" dxfId="0" priority="1" operator="between" text=" ">
      <formula>NOT(ISERROR(SEARCH(" ",A8)))</formula>
    </cfRule>
  </conditionalFormatting>
  <conditionalFormatting sqref="A5:C7 A4:B4 A1:C1">
    <cfRule type="containsText" dxfId="0" priority="4" operator="between" text=" ">
      <formula>NOT(ISERROR(SEARCH(" ",A1)))</formula>
    </cfRule>
  </conditionalFormatting>
  <dataValidations count="3">
    <dataValidation type="list" allowBlank="1" showInputMessage="1" showErrorMessage="1" sqref="A1">
      <formula1>#REF!</formula1>
    </dataValidation>
    <dataValidation type="list" allowBlank="1" showInputMessage="1" showErrorMessage="1" sqref="B1 B4:B8">
      <formula1>"等于,包含,IN,大于等,小于等"</formula1>
    </dataValidation>
    <dataValidation type="list" allowBlank="1" showInputMessage="1" showErrorMessage="1" sqref="A4:A8">
      <formula1>帮助!$M$1:$BQ$1</formula1>
    </dataValidation>
  </dataValidations>
  <hyperlinks>
    <hyperlink ref="J4" r:id="rId6" display="http://aa.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name="Button 1" r:id="rId4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name="Button 2" r:id="rId5">
              <controlPr print="0" defaultSize="0">
                <anchor moveWithCells="1">
                  <from>
                    <xdr:col>6</xdr:col>
                    <xdr:colOff>285750</xdr:colOff>
                    <xdr:row>0</xdr:row>
                    <xdr:rowOff>0</xdr:rowOff>
                  </from>
                  <to>
                    <xdr:col>6</xdr:col>
                    <xdr:colOff>1000125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>
    <tabColor rgb="FFFF0000"/>
  </sheetPr>
  <dimension ref="A1:AA25"/>
  <sheetViews>
    <sheetView workbookViewId="0">
      <selection activeCell="A32" sqref="A32"/>
    </sheetView>
  </sheetViews>
  <sheetFormatPr defaultColWidth="9" defaultRowHeight="13.5"/>
  <cols>
    <col min="1" max="1" width="23.625" style="46" customWidth="1"/>
    <col min="2" max="2" width="15.625" style="47" customWidth="1"/>
    <col min="3" max="3" width="10.875" style="47" customWidth="1"/>
    <col min="4" max="4" width="9.875" style="47" customWidth="1"/>
    <col min="5" max="5" width="14.25" style="47" customWidth="1"/>
    <col min="6" max="6" width="11.625" style="48" customWidth="1"/>
    <col min="7" max="7" width="10.125" style="47" customWidth="1"/>
    <col min="8" max="8" width="11" style="47" customWidth="1"/>
    <col min="9" max="9" width="8.125" style="49" customWidth="1"/>
    <col min="10" max="10" width="9.625" style="49" customWidth="1"/>
    <col min="11" max="16384" width="9" style="4"/>
  </cols>
  <sheetData>
    <row r="1" s="35" customFormat="1" ht="30.6" customHeight="1" spans="1:4">
      <c r="A1" s="50" t="s">
        <v>101</v>
      </c>
      <c r="B1" s="51" t="s">
        <v>102</v>
      </c>
      <c r="C1" s="50" t="s">
        <v>103</v>
      </c>
      <c r="D1" s="42"/>
    </row>
    <row r="2" s="36" customFormat="1" spans="1:27">
      <c r="A2" s="43" t="s">
        <v>102</v>
      </c>
      <c r="B2" s="52" t="str">
        <f ca="1">INDIRECT("sheet1!"&amp;"A11")</f>
        <v>预算代码</v>
      </c>
      <c r="C2" s="52" t="str">
        <f ca="1">INDIRECT("sheet1!"&amp;"B11")</f>
        <v>支出数</v>
      </c>
      <c r="D2" s="52" t="str">
        <f ca="1">INDIRECT("sheet1!"&amp;"C11")</f>
        <v>金额</v>
      </c>
      <c r="E2" s="52" t="str">
        <f ca="1">INDIRECT("sheet1!"&amp;"D11")</f>
        <v>使用情况</v>
      </c>
      <c r="F2" s="52" t="str">
        <f ca="1">INDIRECT("sheet1!"&amp;"E11")</f>
        <v>支出时间</v>
      </c>
      <c r="G2" s="52" t="str">
        <f ca="1">INDIRECT("sheet1!"&amp;"F11")</f>
        <v>经办人</v>
      </c>
      <c r="H2" s="52" t="str">
        <f ca="1">INDIRECT("sheet1!"&amp;"G11")</f>
        <v>经办人id</v>
      </c>
      <c r="I2" s="52">
        <f ca="1">INDIRECT("sheet1!"&amp;"H11")</f>
        <v>0</v>
      </c>
      <c r="J2" s="52">
        <f ca="1">INDIRECT("sheet1!"&amp;"I11")</f>
        <v>0</v>
      </c>
      <c r="K2" s="52">
        <f ca="1">INDIRECT("sheet1!"&amp;"J11")</f>
        <v>0</v>
      </c>
      <c r="L2" s="52">
        <f ca="1">INDIRECT("sheet1!"&amp;"K11")</f>
        <v>0</v>
      </c>
      <c r="M2" s="52">
        <f ca="1">INDIRECT("sheet1!"&amp;"L11")</f>
        <v>0</v>
      </c>
      <c r="N2" s="52">
        <f ca="1">INDIRECT("sheet1!"&amp;"M11")</f>
        <v>0</v>
      </c>
      <c r="O2" s="52">
        <f ca="1">INDIRECT("sheet1!"&amp;"N11")</f>
        <v>0</v>
      </c>
      <c r="P2" s="52">
        <f ca="1">INDIRECT("sheet1!"&amp;"O11")</f>
        <v>0</v>
      </c>
      <c r="Q2" s="52">
        <f ca="1">INDIRECT("sheet1!"&amp;"P11")</f>
        <v>0</v>
      </c>
      <c r="R2" s="52">
        <f ca="1">INDIRECT("sheet1!"&amp;"Q11")</f>
        <v>0</v>
      </c>
      <c r="S2" s="52">
        <f ca="1">INDIRECT("sheet1!"&amp;"R11")</f>
        <v>0</v>
      </c>
      <c r="T2" s="52">
        <f ca="1">INDIRECT("sheet1!"&amp;"S11")</f>
        <v>0</v>
      </c>
      <c r="U2" s="52">
        <f ca="1">INDIRECT("sheet1!"&amp;"T11")</f>
        <v>0</v>
      </c>
      <c r="V2" s="52">
        <f ca="1">INDIRECT("sheet1!"&amp;"U11")</f>
        <v>0</v>
      </c>
      <c r="W2" s="52">
        <f ca="1">INDIRECT("sheet1!"&amp;"V11")</f>
        <v>0</v>
      </c>
      <c r="X2" s="52">
        <f ca="1">INDIRECT("sheet1!"&amp;"W11")</f>
        <v>0</v>
      </c>
      <c r="Y2" s="52">
        <f ca="1">INDIRECT("sheet1!"&amp;"X11")</f>
        <v>0</v>
      </c>
      <c r="Z2" s="52">
        <f ca="1">INDIRECT("sheet1!"&amp;"Y11")</f>
        <v>0</v>
      </c>
      <c r="AA2" s="52">
        <f ca="1">INDIRECT("sheet1!"&amp;"Z11")</f>
        <v>0</v>
      </c>
    </row>
    <row r="3" spans="1:18">
      <c r="A3" s="53" t="s">
        <v>104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</row>
    <row r="4" spans="1:18">
      <c r="A4" s="54" t="s">
        <v>105</v>
      </c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</row>
    <row r="5" spans="1:18">
      <c r="A5" s="53" t="s">
        <v>106</v>
      </c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</row>
    <row r="6" spans="1:18">
      <c r="A6" s="54" t="s">
        <v>107</v>
      </c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</row>
    <row r="7" spans="1:18">
      <c r="A7" s="53"/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</row>
    <row r="8" spans="1:18">
      <c r="A8" s="54"/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</row>
    <row r="9" spans="1:18">
      <c r="A9" s="53"/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</row>
    <row r="10" spans="1:18">
      <c r="A10" s="54"/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</row>
    <row r="11" spans="1:18">
      <c r="A11" s="53"/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</row>
    <row r="12" spans="1:18">
      <c r="A12" s="54"/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</row>
    <row r="13" spans="1:18">
      <c r="A13" s="53"/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</row>
    <row r="14" spans="1:18">
      <c r="A14" s="53"/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</row>
    <row r="15" spans="2:12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2:12"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2:12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>
      <c r="A18" s="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>
      <c r="A19" s="4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1:12">
      <c r="A20" s="4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>
      <c r="A21" s="4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2">
      <c r="A22" s="4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>
      <c r="A23" s="4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>
      <c r="A24" s="4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>
      <c r="A25" s="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</sheetData>
  <protectedRanges>
    <protectedRange sqref="B15:L25" name="区域1" securityDescriptor=""/>
    <protectedRange sqref="A2" name="区域1_1" securityDescriptor=""/>
    <protectedRange sqref="B3:R14" name="区域1_2" securityDescriptor=""/>
  </protectedRange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name="Button 1" r:id="rId3">
              <controlPr print="0" defaultSize="0">
                <anchor moveWithCells="1" sizeWithCells="1">
                  <from>
                    <xdr:col>6</xdr:col>
                    <xdr:colOff>466725</xdr:colOff>
                    <xdr:row>0</xdr:row>
                    <xdr:rowOff>57150</xdr:rowOff>
                  </from>
                  <to>
                    <xdr:col>9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3.5"/>
  <cols>
    <col min="1" max="1" width="9.625" style="37" customWidth="1"/>
    <col min="2" max="2" width="12" style="38" customWidth="1"/>
    <col min="3" max="3" width="8.5" style="38" customWidth="1"/>
    <col min="4" max="4" width="9.875" style="38" customWidth="1"/>
    <col min="5" max="5" width="14.25" style="38" customWidth="1"/>
    <col min="6" max="6" width="11.625" style="39" customWidth="1"/>
    <col min="7" max="7" width="10.125" style="38" customWidth="1"/>
    <col min="8" max="8" width="11" style="38" customWidth="1"/>
    <col min="9" max="9" width="11.25" style="40" customWidth="1"/>
    <col min="10" max="10" width="18.875" style="40" customWidth="1"/>
    <col min="11" max="16384" width="9" style="41"/>
  </cols>
  <sheetData>
    <row r="1" s="35" customFormat="1" ht="30.6" customHeight="1" spans="2:5">
      <c r="B1" s="35" t="s">
        <v>108</v>
      </c>
      <c r="D1" s="42" t="s">
        <v>109</v>
      </c>
      <c r="E1" s="35" t="s">
        <v>110</v>
      </c>
    </row>
    <row r="2" s="36" customFormat="1" spans="1:21">
      <c r="A2" s="43" t="s">
        <v>109</v>
      </c>
      <c r="B2" s="44" t="e">
        <f>Sheet1!#REF!</f>
        <v>#REF!</v>
      </c>
      <c r="C2" s="44" t="e">
        <f>Sheet1!#REF!</f>
        <v>#REF!</v>
      </c>
      <c r="D2" s="44" t="e">
        <f>Sheet1!#REF!</f>
        <v>#REF!</v>
      </c>
      <c r="E2" s="44" t="e">
        <f>Sheet1!#REF!</f>
        <v>#REF!</v>
      </c>
      <c r="F2" s="44" t="e">
        <f>Sheet1!#REF!</f>
        <v>#REF!</v>
      </c>
      <c r="G2" s="44" t="str">
        <f>Sheet1!B11</f>
        <v>支出数</v>
      </c>
      <c r="H2" s="44" t="str">
        <f>Sheet1!A11</f>
        <v>预算代码</v>
      </c>
      <c r="I2" s="44" t="e">
        <f>Sheet1!#REF!</f>
        <v>#REF!</v>
      </c>
      <c r="J2" s="44" t="e">
        <f>Sheet1!#REF!</f>
        <v>#REF!</v>
      </c>
      <c r="K2" s="44" t="e">
        <f>Sheet1!#REF!</f>
        <v>#REF!</v>
      </c>
      <c r="L2" s="44" t="str">
        <f>Sheet1!E11</f>
        <v>支出时间</v>
      </c>
      <c r="M2" s="44" t="str">
        <f>Sheet1!F11</f>
        <v>经办人</v>
      </c>
      <c r="N2" s="44" t="str">
        <f>Sheet1!G11</f>
        <v>经办人id</v>
      </c>
      <c r="O2" s="44">
        <f>Sheet1!H11</f>
        <v>0</v>
      </c>
      <c r="P2" s="44">
        <f>Sheet1!I11</f>
        <v>0</v>
      </c>
      <c r="Q2" s="44">
        <f>Sheet1!J11</f>
        <v>0</v>
      </c>
      <c r="R2" s="44">
        <f>Sheet1!K11</f>
        <v>0</v>
      </c>
      <c r="S2" s="44">
        <f>Sheet1!L11</f>
        <v>0</v>
      </c>
      <c r="T2" s="44">
        <f>Sheet1!M11</f>
        <v>0</v>
      </c>
      <c r="U2" s="44">
        <f>Sheet1!N11</f>
        <v>0</v>
      </c>
    </row>
    <row r="3" spans="1:21">
      <c r="A3" s="37">
        <v>1426089308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  <c r="S3" s="45" t="e">
        <f ca="1">INDEX(Sheet1!R:R,MATCH(姓名查!$A3,INDIRECT("sheet1!"&amp;VLOOKUP(Sheet1!$F$5,帮助!$BR:$BS,2,FALSE)&amp;":"&amp;VLOOKUP(Sheet1!$F$5,帮助!$BR:$BS,2,FALSE)),0))</f>
        <v>#N/A</v>
      </c>
      <c r="T3" s="45" t="e">
        <f ca="1">INDEX(Sheet1!S:S,MATCH(姓名查!$A3,INDIRECT("sheet1!"&amp;VLOOKUP(Sheet1!$F$5,帮助!$BR:$BS,2,FALSE)&amp;":"&amp;VLOOKUP(Sheet1!$F$5,帮助!$BR:$BS,2,FALSE)),0))</f>
        <v>#N/A</v>
      </c>
      <c r="U3" s="45" t="e">
        <f ca="1">INDEX(Sheet1!T:T,MATCH(姓名查!$A3,INDIRECT("sheet1!"&amp;VLOOKUP(Sheet1!$F$5,帮助!$BR:$BS,2,FALSE)&amp;":"&amp;VLOOKUP(Sheet1!$F$5,帮助!$BR:$BS,2,FALSE)),0))</f>
        <v>#N/A</v>
      </c>
    </row>
    <row r="4" spans="2:21"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  <c r="S4" s="45" t="e">
        <f ca="1">INDEX(Sheet1!R:R,MATCH(姓名查!$A4,INDIRECT("sheet1!"&amp;VLOOKUP(Sheet1!$F$5,帮助!$BR:$BS,2,FALSE)&amp;":"&amp;VLOOKUP(Sheet1!$F$5,帮助!$BR:$BS,2,FALSE)),0))</f>
        <v>#N/A</v>
      </c>
      <c r="T4" s="45" t="e">
        <f ca="1">INDEX(Sheet1!S:S,MATCH(姓名查!$A4,INDIRECT("sheet1!"&amp;VLOOKUP(Sheet1!$F$5,帮助!$BR:$BS,2,FALSE)&amp;":"&amp;VLOOKUP(Sheet1!$F$5,帮助!$BR:$BS,2,FALSE)),0))</f>
        <v>#N/A</v>
      </c>
      <c r="U4" s="45" t="e">
        <f ca="1">INDEX(Sheet1!T:T,MATCH(姓名查!$A4,INDIRECT("sheet1!"&amp;VLOOKUP(Sheet1!$F$5,帮助!$BR:$BS,2,FALSE)&amp;":"&amp;VLOOKUP(Sheet1!$F$5,帮助!$BR:$BS,2,FALSE)),0))</f>
        <v>#N/A</v>
      </c>
    </row>
    <row r="5" spans="2:21"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  <c r="S5" s="45" t="e">
        <f ca="1">INDEX(Sheet1!R:R,MATCH(姓名查!$A5,INDIRECT("sheet1!"&amp;VLOOKUP(Sheet1!$F$5,帮助!$BR:$BS,2,FALSE)&amp;":"&amp;VLOOKUP(Sheet1!$F$5,帮助!$BR:$BS,2,FALSE)),0))</f>
        <v>#N/A</v>
      </c>
      <c r="T5" s="45" t="e">
        <f ca="1">INDEX(Sheet1!S:S,MATCH(姓名查!$A5,INDIRECT("sheet1!"&amp;VLOOKUP(Sheet1!$F$5,帮助!$BR:$BS,2,FALSE)&amp;":"&amp;VLOOKUP(Sheet1!$F$5,帮助!$BR:$BS,2,FALSE)),0))</f>
        <v>#N/A</v>
      </c>
      <c r="U5" s="45" t="e">
        <f ca="1">INDEX(Sheet1!T:T,MATCH(姓名查!$A5,INDIRECT("sheet1!"&amp;VLOOKUP(Sheet1!$F$5,帮助!$BR:$BS,2,FALSE)&amp;":"&amp;VLOOKUP(Sheet1!$F$5,帮助!$BR:$BS,2,FALSE)),0))</f>
        <v>#N/A</v>
      </c>
    </row>
    <row r="6" spans="2:21"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  <c r="S6" s="45" t="e">
        <f ca="1">INDEX(Sheet1!R:R,MATCH(姓名查!$A6,INDIRECT("sheet1!"&amp;VLOOKUP(Sheet1!$F$5,帮助!$BR:$BS,2,FALSE)&amp;":"&amp;VLOOKUP(Sheet1!$F$5,帮助!$BR:$BS,2,FALSE)),0))</f>
        <v>#N/A</v>
      </c>
      <c r="T6" s="45" t="e">
        <f ca="1">INDEX(Sheet1!S:S,MATCH(姓名查!$A6,INDIRECT("sheet1!"&amp;VLOOKUP(Sheet1!$F$5,帮助!$BR:$BS,2,FALSE)&amp;":"&amp;VLOOKUP(Sheet1!$F$5,帮助!$BR:$BS,2,FALSE)),0))</f>
        <v>#N/A</v>
      </c>
      <c r="U6" s="45" t="e">
        <f ca="1">INDEX(Sheet1!T:T,MATCH(姓名查!$A6,INDIRECT("sheet1!"&amp;VLOOKUP(Sheet1!$F$5,帮助!$BR:$BS,2,FALSE)&amp;":"&amp;VLOOKUP(Sheet1!$F$5,帮助!$BR:$BS,2,FALSE)),0))</f>
        <v>#N/A</v>
      </c>
    </row>
    <row r="7" spans="2:21"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  <c r="S7" s="45" t="e">
        <f ca="1">INDEX(Sheet1!R:R,MATCH(姓名查!$A7,INDIRECT("sheet1!"&amp;VLOOKUP(Sheet1!$F$5,帮助!$BR:$BS,2,FALSE)&amp;":"&amp;VLOOKUP(Sheet1!$F$5,帮助!$BR:$BS,2,FALSE)),0))</f>
        <v>#N/A</v>
      </c>
      <c r="T7" s="45" t="e">
        <f ca="1">INDEX(Sheet1!S:S,MATCH(姓名查!$A7,INDIRECT("sheet1!"&amp;VLOOKUP(Sheet1!$F$5,帮助!$BR:$BS,2,FALSE)&amp;":"&amp;VLOOKUP(Sheet1!$F$5,帮助!$BR:$BS,2,FALSE)),0))</f>
        <v>#N/A</v>
      </c>
      <c r="U7" s="45" t="e">
        <f ca="1">INDEX(Sheet1!T:T,MATCH(姓名查!$A7,INDIRECT("sheet1!"&amp;VLOOKUP(Sheet1!$F$5,帮助!$BR:$BS,2,FALSE)&amp;":"&amp;VLOOKUP(Sheet1!$F$5,帮助!$BR:$BS,2,FALSE)),0))</f>
        <v>#N/A</v>
      </c>
    </row>
    <row r="8" spans="2:21"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  <c r="S8" s="45" t="e">
        <f ca="1">INDEX(Sheet1!R:R,MATCH(姓名查!$A8,INDIRECT("sheet1!"&amp;VLOOKUP(Sheet1!$F$5,帮助!$BR:$BS,2,FALSE)&amp;":"&amp;VLOOKUP(Sheet1!$F$5,帮助!$BR:$BS,2,FALSE)),0))</f>
        <v>#N/A</v>
      </c>
      <c r="T8" s="45" t="e">
        <f ca="1">INDEX(Sheet1!S:S,MATCH(姓名查!$A8,INDIRECT("sheet1!"&amp;VLOOKUP(Sheet1!$F$5,帮助!$BR:$BS,2,FALSE)&amp;":"&amp;VLOOKUP(Sheet1!$F$5,帮助!$BR:$BS,2,FALSE)),0))</f>
        <v>#N/A</v>
      </c>
      <c r="U8" s="45" t="e">
        <f ca="1">INDEX(Sheet1!T:T,MATCH(姓名查!$A8,INDIRECT("sheet1!"&amp;VLOOKUP(Sheet1!$F$5,帮助!$BR:$BS,2,FALSE)&amp;":"&amp;VLOOKUP(Sheet1!$F$5,帮助!$BR:$BS,2,FALSE)),0))</f>
        <v>#N/A</v>
      </c>
    </row>
    <row r="9" spans="2:21"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  <c r="S9" s="45" t="e">
        <f ca="1">INDEX(Sheet1!R:R,MATCH(姓名查!$A9,INDIRECT("sheet1!"&amp;VLOOKUP(Sheet1!$F$5,帮助!$BR:$BS,2,FALSE)&amp;":"&amp;VLOOKUP(Sheet1!$F$5,帮助!$BR:$BS,2,FALSE)),0))</f>
        <v>#N/A</v>
      </c>
      <c r="T9" s="45" t="e">
        <f ca="1">INDEX(Sheet1!S:S,MATCH(姓名查!$A9,INDIRECT("sheet1!"&amp;VLOOKUP(Sheet1!$F$5,帮助!$BR:$BS,2,FALSE)&amp;":"&amp;VLOOKUP(Sheet1!$F$5,帮助!$BR:$BS,2,FALSE)),0))</f>
        <v>#N/A</v>
      </c>
      <c r="U9" s="45" t="e">
        <f ca="1">INDEX(Sheet1!T:T,MATCH(姓名查!$A9,INDIRECT("sheet1!"&amp;VLOOKUP(Sheet1!$F$5,帮助!$BR:$BS,2,FALSE)&amp;":"&amp;VLOOKUP(Sheet1!$F$5,帮助!$BR:$BS,2,FALSE)),0))</f>
        <v>#N/A</v>
      </c>
    </row>
    <row r="10" spans="2:21"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  <c r="S10" s="45" t="e">
        <f ca="1">INDEX(Sheet1!R:R,MATCH(姓名查!$A10,INDIRECT("sheet1!"&amp;VLOOKUP(Sheet1!$F$5,帮助!$BR:$BS,2,FALSE)&amp;":"&amp;VLOOKUP(Sheet1!$F$5,帮助!$BR:$BS,2,FALSE)),0))</f>
        <v>#N/A</v>
      </c>
      <c r="T10" s="45" t="e">
        <f ca="1">INDEX(Sheet1!S:S,MATCH(姓名查!$A10,INDIRECT("sheet1!"&amp;VLOOKUP(Sheet1!$F$5,帮助!$BR:$BS,2,FALSE)&amp;":"&amp;VLOOKUP(Sheet1!$F$5,帮助!$BR:$BS,2,FALSE)),0))</f>
        <v>#N/A</v>
      </c>
      <c r="U10" s="45" t="e">
        <f ca="1">INDEX(Sheet1!T:T,MATCH(姓名查!$A10,INDIRECT("sheet1!"&amp;VLOOKUP(Sheet1!$F$5,帮助!$BR:$BS,2,FALSE)&amp;":"&amp;VLOOKUP(Sheet1!$F$5,帮助!$BR:$BS,2,FALSE)),0))</f>
        <v>#N/A</v>
      </c>
    </row>
    <row r="11" spans="2:21"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  <c r="S11" s="45" t="e">
        <f ca="1">INDEX(Sheet1!R:R,MATCH(姓名查!$A11,INDIRECT("sheet1!"&amp;VLOOKUP(Sheet1!$F$5,帮助!$BR:$BS,2,FALSE)&amp;":"&amp;VLOOKUP(Sheet1!$F$5,帮助!$BR:$BS,2,FALSE)),0))</f>
        <v>#N/A</v>
      </c>
      <c r="T11" s="45" t="e">
        <f ca="1">INDEX(Sheet1!S:S,MATCH(姓名查!$A11,INDIRECT("sheet1!"&amp;VLOOKUP(Sheet1!$F$5,帮助!$BR:$BS,2,FALSE)&amp;":"&amp;VLOOKUP(Sheet1!$F$5,帮助!$BR:$BS,2,FALSE)),0))</f>
        <v>#N/A</v>
      </c>
      <c r="U11" s="45" t="e">
        <f ca="1">INDEX(Sheet1!T:T,MATCH(姓名查!$A11,INDIRECT("sheet1!"&amp;VLOOKUP(Sheet1!$F$5,帮助!$BR:$BS,2,FALSE)&amp;":"&amp;VLOOKUP(Sheet1!$F$5,帮助!$BR:$BS,2,FALSE)),0))</f>
        <v>#N/A</v>
      </c>
    </row>
    <row r="12" spans="2:21"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  <c r="S12" s="45" t="e">
        <f ca="1">INDEX(Sheet1!R:R,MATCH(姓名查!$A12,INDIRECT("sheet1!"&amp;VLOOKUP(Sheet1!$F$5,帮助!$BR:$BS,2,FALSE)&amp;":"&amp;VLOOKUP(Sheet1!$F$5,帮助!$BR:$BS,2,FALSE)),0))</f>
        <v>#N/A</v>
      </c>
      <c r="T12" s="45" t="e">
        <f ca="1">INDEX(Sheet1!S:S,MATCH(姓名查!$A12,INDIRECT("sheet1!"&amp;VLOOKUP(Sheet1!$F$5,帮助!$BR:$BS,2,FALSE)&amp;":"&amp;VLOOKUP(Sheet1!$F$5,帮助!$BR:$BS,2,FALSE)),0))</f>
        <v>#N/A</v>
      </c>
      <c r="U12" s="45" t="e">
        <f ca="1">INDEX(Sheet1!T:T,MATCH(姓名查!$A12,INDIRECT("sheet1!"&amp;VLOOKUP(Sheet1!$F$5,帮助!$BR:$BS,2,FALSE)&amp;":"&amp;VLOOKUP(Sheet1!$F$5,帮助!$BR:$BS,2,FALSE)),0))</f>
        <v>#N/A</v>
      </c>
    </row>
    <row r="13" spans="2:21"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  <c r="S13" s="45" t="e">
        <f ca="1">INDEX(Sheet1!R:R,MATCH(姓名查!$A13,INDIRECT("sheet1!"&amp;VLOOKUP(Sheet1!$F$5,帮助!$BR:$BS,2,FALSE)&amp;":"&amp;VLOOKUP(Sheet1!$F$5,帮助!$BR:$BS,2,FALSE)),0))</f>
        <v>#N/A</v>
      </c>
      <c r="T13" s="45" t="e">
        <f ca="1">INDEX(Sheet1!S:S,MATCH(姓名查!$A13,INDIRECT("sheet1!"&amp;VLOOKUP(Sheet1!$F$5,帮助!$BR:$BS,2,FALSE)&amp;":"&amp;VLOOKUP(Sheet1!$F$5,帮助!$BR:$BS,2,FALSE)),0))</f>
        <v>#N/A</v>
      </c>
      <c r="U13" s="45" t="e">
        <f ca="1">INDEX(Sheet1!T:T,MATCH(姓名查!$A13,INDIRECT("sheet1!"&amp;VLOOKUP(Sheet1!$F$5,帮助!$BR:$BS,2,FALSE)&amp;":"&amp;VLOOKUP(Sheet1!$F$5,帮助!$BR:$BS,2,FALSE)),0))</f>
        <v>#N/A</v>
      </c>
    </row>
    <row r="14" spans="2:21"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  <c r="S14" s="45" t="e">
        <f ca="1">INDEX(Sheet1!R:R,MATCH(姓名查!$A14,INDIRECT("sheet1!"&amp;VLOOKUP(Sheet1!$F$5,帮助!$BR:$BS,2,FALSE)&amp;":"&amp;VLOOKUP(Sheet1!$F$5,帮助!$BR:$BS,2,FALSE)),0))</f>
        <v>#N/A</v>
      </c>
      <c r="T14" s="45" t="e">
        <f ca="1">INDEX(Sheet1!S:S,MATCH(姓名查!$A14,INDIRECT("sheet1!"&amp;VLOOKUP(Sheet1!$F$5,帮助!$BR:$BS,2,FALSE)&amp;":"&amp;VLOOKUP(Sheet1!$F$5,帮助!$BR:$BS,2,FALSE)),0))</f>
        <v>#N/A</v>
      </c>
      <c r="U14" s="45" t="e">
        <f ca="1">INDEX(Sheet1!T:T,MATCH(姓名查!$A14,INDIRECT("sheet1!"&amp;VLOOKUP(Sheet1!$F$5,帮助!$BR:$BS,2,FALSE)&amp;":"&amp;VLOOKUP(Sheet1!$F$5,帮助!$BR:$BS,2,FALSE)),0))</f>
        <v>#N/A</v>
      </c>
    </row>
    <row r="15" spans="2:21">
      <c r="B15" s="45" t="e">
        <f ca="1">INDEX(Sheet1!A:A,MATCH(姓名查!$A15,INDIRECT("sheet1!"&amp;VLOOKUP(Sheet1!$F$5,帮助!$BR:$BS,2,FALSE)&amp;":"&amp;VLOOKUP(Sheet1!$F$5,帮助!$BR:$BS,2,FALSE)),0))</f>
        <v>#N/A</v>
      </c>
      <c r="C15" s="45" t="e">
        <f ca="1">INDEX(Sheet1!B:B,MATCH(姓名查!$A15,INDIRECT("sheet1!"&amp;VLOOKUP(Sheet1!$F$5,帮助!$BR:$BS,2,FALSE)&amp;":"&amp;VLOOKUP(Sheet1!$F$5,帮助!$BR:$BS,2,FALSE)),0))</f>
        <v>#N/A</v>
      </c>
      <c r="D15" s="45" t="e">
        <f ca="1">INDEX(Sheet1!C:C,MATCH(姓名查!$A15,INDIRECT("sheet1!"&amp;VLOOKUP(Sheet1!$F$5,帮助!$BR:$BS,2,FALSE)&amp;":"&amp;VLOOKUP(Sheet1!$F$5,帮助!$BR:$BS,2,FALSE)),0))</f>
        <v>#N/A</v>
      </c>
      <c r="E15" s="45" t="e">
        <f ca="1">INDEX(Sheet1!D:D,MATCH(姓名查!$A15,INDIRECT("sheet1!"&amp;VLOOKUP(Sheet1!$F$5,帮助!$BR:$BS,2,FALSE)&amp;":"&amp;VLOOKUP(Sheet1!$F$5,帮助!$BR:$BS,2,FALSE)),0))</f>
        <v>#N/A</v>
      </c>
      <c r="F15" s="45" t="e">
        <f ca="1">INDEX(Sheet1!E:E,MATCH(姓名查!$A15,INDIRECT("sheet1!"&amp;VLOOKUP(Sheet1!$F$5,帮助!$BR:$BS,2,FALSE)&amp;":"&amp;VLOOKUP(Sheet1!$F$5,帮助!$BR:$BS,2,FALSE)),0))</f>
        <v>#N/A</v>
      </c>
      <c r="G15" s="45" t="e">
        <f ca="1">INDEX(Sheet1!F:F,MATCH(姓名查!$A15,INDIRECT("sheet1!"&amp;VLOOKUP(Sheet1!$F$5,帮助!$BR:$BS,2,FALSE)&amp;":"&amp;VLOOKUP(Sheet1!$F$5,帮助!$BR:$BS,2,FALSE)),0))</f>
        <v>#N/A</v>
      </c>
      <c r="H15" s="45" t="e">
        <f ca="1">INDEX(Sheet1!G:G,MATCH(姓名查!$A15,INDIRECT("sheet1!"&amp;VLOOKUP(Sheet1!$F$5,帮助!$BR:$BS,2,FALSE)&amp;":"&amp;VLOOKUP(Sheet1!$F$5,帮助!$BR:$BS,2,FALSE)),0))</f>
        <v>#N/A</v>
      </c>
      <c r="I15" s="45" t="e">
        <f ca="1">INDEX(Sheet1!H:H,MATCH(姓名查!$A15,INDIRECT("sheet1!"&amp;VLOOKUP(Sheet1!$F$5,帮助!$BR:$BS,2,FALSE)&amp;":"&amp;VLOOKUP(Sheet1!$F$5,帮助!$BR:$BS,2,FALSE)),0))</f>
        <v>#N/A</v>
      </c>
      <c r="J15" s="45" t="e">
        <f ca="1">INDEX(Sheet1!I:I,MATCH(姓名查!$A15,INDIRECT("sheet1!"&amp;VLOOKUP(Sheet1!$F$5,帮助!$BR:$BS,2,FALSE)&amp;":"&amp;VLOOKUP(Sheet1!$F$5,帮助!$BR:$BS,2,FALSE)),0))</f>
        <v>#N/A</v>
      </c>
      <c r="K15" s="45" t="e">
        <f ca="1">INDEX(Sheet1!J:J,MATCH(姓名查!$A15,INDIRECT("sheet1!"&amp;VLOOKUP(Sheet1!$F$5,帮助!$BR:$BS,2,FALSE)&amp;":"&amp;VLOOKUP(Sheet1!$F$5,帮助!$BR:$BS,2,FALSE)),0))</f>
        <v>#N/A</v>
      </c>
      <c r="L15" s="45" t="e">
        <f ca="1">INDEX(Sheet1!K:K,MATCH(姓名查!$A15,INDIRECT("sheet1!"&amp;VLOOKUP(Sheet1!$F$5,帮助!$BR:$BS,2,FALSE)&amp;":"&amp;VLOOKUP(Sheet1!$F$5,帮助!$BR:$BS,2,FALSE)),0))</f>
        <v>#N/A</v>
      </c>
      <c r="M15" s="45" t="e">
        <f ca="1">INDEX(Sheet1!L:L,MATCH(姓名查!$A15,INDIRECT("sheet1!"&amp;VLOOKUP(Sheet1!$F$5,帮助!$BR:$BS,2,FALSE)&amp;":"&amp;VLOOKUP(Sheet1!$F$5,帮助!$BR:$BS,2,FALSE)),0))</f>
        <v>#N/A</v>
      </c>
      <c r="N15" s="45" t="e">
        <f ca="1">INDEX(Sheet1!M:M,MATCH(姓名查!$A15,INDIRECT("sheet1!"&amp;VLOOKUP(Sheet1!$F$5,帮助!$BR:$BS,2,FALSE)&amp;":"&amp;VLOOKUP(Sheet1!$F$5,帮助!$BR:$BS,2,FALSE)),0))</f>
        <v>#N/A</v>
      </c>
      <c r="O15" s="45" t="e">
        <f ca="1">INDEX(Sheet1!N:N,MATCH(姓名查!$A15,INDIRECT("sheet1!"&amp;VLOOKUP(Sheet1!$F$5,帮助!$BR:$BS,2,FALSE)&amp;":"&amp;VLOOKUP(Sheet1!$F$5,帮助!$BR:$BS,2,FALSE)),0))</f>
        <v>#N/A</v>
      </c>
      <c r="P15" s="45" t="e">
        <f ca="1">INDEX(Sheet1!O:O,MATCH(姓名查!$A15,INDIRECT("sheet1!"&amp;VLOOKUP(Sheet1!$F$5,帮助!$BR:$BS,2,FALSE)&amp;":"&amp;VLOOKUP(Sheet1!$F$5,帮助!$BR:$BS,2,FALSE)),0))</f>
        <v>#N/A</v>
      </c>
      <c r="Q15" s="45" t="e">
        <f ca="1">INDEX(Sheet1!P:P,MATCH(姓名查!$A15,INDIRECT("sheet1!"&amp;VLOOKUP(Sheet1!$F$5,帮助!$BR:$BS,2,FALSE)&amp;":"&amp;VLOOKUP(Sheet1!$F$5,帮助!$BR:$BS,2,FALSE)),0))</f>
        <v>#N/A</v>
      </c>
      <c r="R15" s="45" t="e">
        <f ca="1">INDEX(Sheet1!Q:Q,MATCH(姓名查!$A15,INDIRECT("sheet1!"&amp;VLOOKUP(Sheet1!$F$5,帮助!$BR:$BS,2,FALSE)&amp;":"&amp;VLOOKUP(Sheet1!$F$5,帮助!$BR:$BS,2,FALSE)),0))</f>
        <v>#N/A</v>
      </c>
      <c r="S15" s="45" t="e">
        <f ca="1">INDEX(Sheet1!R:R,MATCH(姓名查!$A15,INDIRECT("sheet1!"&amp;VLOOKUP(Sheet1!$F$5,帮助!$BR:$BS,2,FALSE)&amp;":"&amp;VLOOKUP(Sheet1!$F$5,帮助!$BR:$BS,2,FALSE)),0))</f>
        <v>#N/A</v>
      </c>
      <c r="T15" s="45" t="e">
        <f ca="1">INDEX(Sheet1!S:S,MATCH(姓名查!$A15,INDIRECT("sheet1!"&amp;VLOOKUP(Sheet1!$F$5,帮助!$BR:$BS,2,FALSE)&amp;":"&amp;VLOOKUP(Sheet1!$F$5,帮助!$BR:$BS,2,FALSE)),0))</f>
        <v>#N/A</v>
      </c>
      <c r="U15" s="45" t="e">
        <f ca="1">INDEX(Sheet1!T:T,MATCH(姓名查!$A15,INDIRECT("sheet1!"&amp;VLOOKUP(Sheet1!$F$5,帮助!$BR:$BS,2,FALSE)&amp;":"&amp;VLOOKUP(Sheet1!$F$5,帮助!$BR:$BS,2,FALSE)),0))</f>
        <v>#N/A</v>
      </c>
    </row>
    <row r="16" spans="2:21">
      <c r="B16" s="45" t="e">
        <f ca="1">INDEX(Sheet1!A:A,MATCH(姓名查!$A16,INDIRECT("sheet1!"&amp;VLOOKUP(Sheet1!$F$5,帮助!$BR:$BS,2,FALSE)&amp;":"&amp;VLOOKUP(Sheet1!$F$5,帮助!$BR:$BS,2,FALSE)),0))</f>
        <v>#N/A</v>
      </c>
      <c r="C16" s="45" t="e">
        <f ca="1">INDEX(Sheet1!B:B,MATCH(姓名查!$A16,INDIRECT("sheet1!"&amp;VLOOKUP(Sheet1!$F$5,帮助!$BR:$BS,2,FALSE)&amp;":"&amp;VLOOKUP(Sheet1!$F$5,帮助!$BR:$BS,2,FALSE)),0))</f>
        <v>#N/A</v>
      </c>
      <c r="D16" s="45" t="e">
        <f ca="1">INDEX(Sheet1!C:C,MATCH(姓名查!$A16,INDIRECT("sheet1!"&amp;VLOOKUP(Sheet1!$F$5,帮助!$BR:$BS,2,FALSE)&amp;":"&amp;VLOOKUP(Sheet1!$F$5,帮助!$BR:$BS,2,FALSE)),0))</f>
        <v>#N/A</v>
      </c>
      <c r="E16" s="45" t="e">
        <f ca="1">INDEX(Sheet1!D:D,MATCH(姓名查!$A16,INDIRECT("sheet1!"&amp;VLOOKUP(Sheet1!$F$5,帮助!$BR:$BS,2,FALSE)&amp;":"&amp;VLOOKUP(Sheet1!$F$5,帮助!$BR:$BS,2,FALSE)),0))</f>
        <v>#N/A</v>
      </c>
      <c r="F16" s="45" t="e">
        <f ca="1">INDEX(Sheet1!E:E,MATCH(姓名查!$A16,INDIRECT("sheet1!"&amp;VLOOKUP(Sheet1!$F$5,帮助!$BR:$BS,2,FALSE)&amp;":"&amp;VLOOKUP(Sheet1!$F$5,帮助!$BR:$BS,2,FALSE)),0))</f>
        <v>#N/A</v>
      </c>
      <c r="G16" s="45" t="e">
        <f ca="1">INDEX(Sheet1!F:F,MATCH(姓名查!$A16,INDIRECT("sheet1!"&amp;VLOOKUP(Sheet1!$F$5,帮助!$BR:$BS,2,FALSE)&amp;":"&amp;VLOOKUP(Sheet1!$F$5,帮助!$BR:$BS,2,FALSE)),0))</f>
        <v>#N/A</v>
      </c>
      <c r="H16" s="45" t="e">
        <f ca="1">INDEX(Sheet1!G:G,MATCH(姓名查!$A16,INDIRECT("sheet1!"&amp;VLOOKUP(Sheet1!$F$5,帮助!$BR:$BS,2,FALSE)&amp;":"&amp;VLOOKUP(Sheet1!$F$5,帮助!$BR:$BS,2,FALSE)),0))</f>
        <v>#N/A</v>
      </c>
      <c r="I16" s="45" t="e">
        <f ca="1">INDEX(Sheet1!H:H,MATCH(姓名查!$A16,INDIRECT("sheet1!"&amp;VLOOKUP(Sheet1!$F$5,帮助!$BR:$BS,2,FALSE)&amp;":"&amp;VLOOKUP(Sheet1!$F$5,帮助!$BR:$BS,2,FALSE)),0))</f>
        <v>#N/A</v>
      </c>
      <c r="J16" s="45" t="e">
        <f ca="1">INDEX(Sheet1!I:I,MATCH(姓名查!$A16,INDIRECT("sheet1!"&amp;VLOOKUP(Sheet1!$F$5,帮助!$BR:$BS,2,FALSE)&amp;":"&amp;VLOOKUP(Sheet1!$F$5,帮助!$BR:$BS,2,FALSE)),0))</f>
        <v>#N/A</v>
      </c>
      <c r="K16" s="45" t="e">
        <f ca="1">INDEX(Sheet1!J:J,MATCH(姓名查!$A16,INDIRECT("sheet1!"&amp;VLOOKUP(Sheet1!$F$5,帮助!$BR:$BS,2,FALSE)&amp;":"&amp;VLOOKUP(Sheet1!$F$5,帮助!$BR:$BS,2,FALSE)),0))</f>
        <v>#N/A</v>
      </c>
      <c r="L16" s="45" t="e">
        <f ca="1">INDEX(Sheet1!K:K,MATCH(姓名查!$A16,INDIRECT("sheet1!"&amp;VLOOKUP(Sheet1!$F$5,帮助!$BR:$BS,2,FALSE)&amp;":"&amp;VLOOKUP(Sheet1!$F$5,帮助!$BR:$BS,2,FALSE)),0))</f>
        <v>#N/A</v>
      </c>
      <c r="M16" s="45" t="e">
        <f ca="1">INDEX(Sheet1!L:L,MATCH(姓名查!$A16,INDIRECT("sheet1!"&amp;VLOOKUP(Sheet1!$F$5,帮助!$BR:$BS,2,FALSE)&amp;":"&amp;VLOOKUP(Sheet1!$F$5,帮助!$BR:$BS,2,FALSE)),0))</f>
        <v>#N/A</v>
      </c>
      <c r="N16" s="45" t="e">
        <f ca="1">INDEX(Sheet1!M:M,MATCH(姓名查!$A16,INDIRECT("sheet1!"&amp;VLOOKUP(Sheet1!$F$5,帮助!$BR:$BS,2,FALSE)&amp;":"&amp;VLOOKUP(Sheet1!$F$5,帮助!$BR:$BS,2,FALSE)),0))</f>
        <v>#N/A</v>
      </c>
      <c r="O16" s="45" t="e">
        <f ca="1">INDEX(Sheet1!N:N,MATCH(姓名查!$A16,INDIRECT("sheet1!"&amp;VLOOKUP(Sheet1!$F$5,帮助!$BR:$BS,2,FALSE)&amp;":"&amp;VLOOKUP(Sheet1!$F$5,帮助!$BR:$BS,2,FALSE)),0))</f>
        <v>#N/A</v>
      </c>
      <c r="P16" s="45" t="e">
        <f ca="1">INDEX(Sheet1!O:O,MATCH(姓名查!$A16,INDIRECT("sheet1!"&amp;VLOOKUP(Sheet1!$F$5,帮助!$BR:$BS,2,FALSE)&amp;":"&amp;VLOOKUP(Sheet1!$F$5,帮助!$BR:$BS,2,FALSE)),0))</f>
        <v>#N/A</v>
      </c>
      <c r="Q16" s="45" t="e">
        <f ca="1">INDEX(Sheet1!P:P,MATCH(姓名查!$A16,INDIRECT("sheet1!"&amp;VLOOKUP(Sheet1!$F$5,帮助!$BR:$BS,2,FALSE)&amp;":"&amp;VLOOKUP(Sheet1!$F$5,帮助!$BR:$BS,2,FALSE)),0))</f>
        <v>#N/A</v>
      </c>
      <c r="R16" s="45" t="e">
        <f ca="1">INDEX(Sheet1!Q:Q,MATCH(姓名查!$A16,INDIRECT("sheet1!"&amp;VLOOKUP(Sheet1!$F$5,帮助!$BR:$BS,2,FALSE)&amp;":"&amp;VLOOKUP(Sheet1!$F$5,帮助!$BR:$BS,2,FALSE)),0))</f>
        <v>#N/A</v>
      </c>
      <c r="S16" s="45" t="e">
        <f ca="1">INDEX(Sheet1!R:R,MATCH(姓名查!$A16,INDIRECT("sheet1!"&amp;VLOOKUP(Sheet1!$F$5,帮助!$BR:$BS,2,FALSE)&amp;":"&amp;VLOOKUP(Sheet1!$F$5,帮助!$BR:$BS,2,FALSE)),0))</f>
        <v>#N/A</v>
      </c>
      <c r="T16" s="45" t="e">
        <f ca="1">INDEX(Sheet1!S:S,MATCH(姓名查!$A16,INDIRECT("sheet1!"&amp;VLOOKUP(Sheet1!$F$5,帮助!$BR:$BS,2,FALSE)&amp;":"&amp;VLOOKUP(Sheet1!$F$5,帮助!$BR:$BS,2,FALSE)),0))</f>
        <v>#N/A</v>
      </c>
      <c r="U16" s="45" t="e">
        <f ca="1">INDEX(Sheet1!T:T,MATCH(姓名查!$A16,INDIRECT("sheet1!"&amp;VLOOKUP(Sheet1!$F$5,帮助!$BR:$BS,2,FALSE)&amp;":"&amp;VLOOKUP(Sheet1!$F$5,帮助!$BR:$BS,2,FALSE)),0))</f>
        <v>#N/A</v>
      </c>
    </row>
    <row r="17" spans="2:12"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>
      <c r="A18" s="41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>
      <c r="A19" s="41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>
      <c r="A20" s="41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>
      <c r="A21" s="41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>
      <c r="A22" s="41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>
      <c r="A23" s="41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>
      <c r="A24" s="41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>
      <c r="A25" s="4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</sheetData>
  <protectedRanges>
    <protectedRange sqref="B17:L25 B3:U16" name="区域1_2" securityDescriptor=""/>
    <protectedRange sqref="A2" name="区域1_1_1" securityDescriptor=""/>
  </protectedRanges>
  <pageMargins left="0.699305555555556" right="0.699305555555556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3" customWidth="1"/>
    <col min="2" max="2" width="4.5" style="4" customWidth="1"/>
    <col min="3" max="3" width="8.625" style="4" customWidth="1"/>
    <col min="4" max="4" width="4.5" style="4" customWidth="1"/>
    <col min="5" max="7" width="9" style="5" customWidth="1"/>
    <col min="8" max="8" width="9" style="6"/>
    <col min="9" max="9" width="25.25" style="4" customWidth="1"/>
    <col min="10" max="77" width="9" style="4" customWidth="1"/>
    <col min="78" max="16384" width="9" style="4"/>
  </cols>
  <sheetData>
    <row r="1" spans="1:69">
      <c r="A1" s="7"/>
      <c r="B1" s="8"/>
      <c r="C1" s="8"/>
      <c r="D1" s="9" t="s">
        <v>111</v>
      </c>
      <c r="E1" s="9" t="s">
        <v>112</v>
      </c>
      <c r="F1" s="10"/>
      <c r="G1" s="10"/>
      <c r="H1" s="11"/>
      <c r="I1" s="2"/>
      <c r="J1" s="8"/>
      <c r="K1" s="32" t="s">
        <v>1</v>
      </c>
      <c r="L1" s="2"/>
      <c r="M1" s="32" t="s">
        <v>113</v>
      </c>
      <c r="N1" s="32" t="s">
        <v>0</v>
      </c>
      <c r="O1" s="32" t="s">
        <v>114</v>
      </c>
      <c r="P1" s="32" t="s">
        <v>102</v>
      </c>
      <c r="Q1" s="32" t="s">
        <v>48</v>
      </c>
      <c r="R1" s="32" t="s">
        <v>96</v>
      </c>
      <c r="S1" s="32"/>
      <c r="T1" s="32" t="s">
        <v>17</v>
      </c>
      <c r="U1" s="32" t="s">
        <v>115</v>
      </c>
      <c r="V1" s="32" t="s">
        <v>52</v>
      </c>
      <c r="W1" s="32" t="s">
        <v>116</v>
      </c>
      <c r="X1" s="32" t="s">
        <v>5</v>
      </c>
      <c r="Y1" s="32" t="s">
        <v>117</v>
      </c>
      <c r="Z1" s="32" t="s">
        <v>98</v>
      </c>
      <c r="AA1" s="32" t="s">
        <v>118</v>
      </c>
      <c r="AB1" s="32" t="s">
        <v>119</v>
      </c>
      <c r="AC1" s="32" t="s">
        <v>120</v>
      </c>
      <c r="AD1" s="32" t="s">
        <v>121</v>
      </c>
      <c r="AE1" s="32" t="s">
        <v>122</v>
      </c>
      <c r="AF1" s="32" t="s">
        <v>123</v>
      </c>
      <c r="AG1" s="32" t="s">
        <v>124</v>
      </c>
      <c r="AH1" s="32" t="s">
        <v>125</v>
      </c>
      <c r="AI1" s="32" t="s">
        <v>126</v>
      </c>
      <c r="AJ1" s="32" t="s">
        <v>127</v>
      </c>
      <c r="AK1" s="32" t="s">
        <v>128</v>
      </c>
      <c r="AL1" s="32" t="s">
        <v>129</v>
      </c>
      <c r="AM1" s="32" t="s">
        <v>130</v>
      </c>
      <c r="AN1" s="32" t="s">
        <v>131</v>
      </c>
      <c r="AO1" s="32" t="s">
        <v>132</v>
      </c>
      <c r="AP1" s="32" t="s">
        <v>133</v>
      </c>
      <c r="AQ1" s="32" t="s">
        <v>134</v>
      </c>
      <c r="AR1" s="32" t="s">
        <v>135</v>
      </c>
      <c r="AS1" s="32" t="s">
        <v>136</v>
      </c>
      <c r="AT1" s="32" t="s">
        <v>137</v>
      </c>
      <c r="AU1" s="32" t="s">
        <v>138</v>
      </c>
      <c r="AV1" s="32" t="s">
        <v>139</v>
      </c>
      <c r="AW1" s="32" t="s">
        <v>140</v>
      </c>
      <c r="AX1" s="32" t="s">
        <v>141</v>
      </c>
      <c r="AY1" s="32" t="s">
        <v>142</v>
      </c>
      <c r="AZ1" s="32" t="s">
        <v>143</v>
      </c>
      <c r="BA1" s="32" t="s">
        <v>144</v>
      </c>
      <c r="BB1" s="32" t="s">
        <v>145</v>
      </c>
      <c r="BC1" s="32" t="s">
        <v>146</v>
      </c>
      <c r="BD1" s="32" t="s">
        <v>147</v>
      </c>
      <c r="BE1" s="32" t="s">
        <v>148</v>
      </c>
      <c r="BF1" s="32" t="s">
        <v>149</v>
      </c>
      <c r="BG1" s="32" t="s">
        <v>150</v>
      </c>
      <c r="BH1" s="32" t="s">
        <v>151</v>
      </c>
      <c r="BI1" s="32" t="s">
        <v>152</v>
      </c>
      <c r="BJ1" s="32" t="s">
        <v>153</v>
      </c>
      <c r="BK1" s="32" t="s">
        <v>154</v>
      </c>
      <c r="BL1" s="32" t="s">
        <v>155</v>
      </c>
      <c r="BM1" s="32" t="s">
        <v>156</v>
      </c>
      <c r="BN1" s="32" t="s">
        <v>157</v>
      </c>
      <c r="BO1" s="32" t="s">
        <v>158</v>
      </c>
      <c r="BP1" s="32" t="s">
        <v>159</v>
      </c>
      <c r="BQ1" s="32" t="s">
        <v>160</v>
      </c>
    </row>
    <row r="2" spans="1:69">
      <c r="A2" s="7"/>
      <c r="B2" s="12"/>
      <c r="C2" s="13"/>
      <c r="D2" s="8"/>
      <c r="E2" s="12" t="s">
        <v>3</v>
      </c>
      <c r="F2" s="14">
        <v>660205</v>
      </c>
      <c r="G2" s="8"/>
      <c r="H2" s="11"/>
      <c r="I2" s="2"/>
      <c r="J2" s="33"/>
      <c r="K2" s="32" t="s">
        <v>18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69">
      <c r="A3" s="7"/>
      <c r="B3" s="12"/>
      <c r="C3" s="13"/>
      <c r="D3" s="13"/>
      <c r="F3" s="8"/>
      <c r="G3" s="8"/>
      <c r="H3" s="15"/>
      <c r="I3" s="2"/>
      <c r="J3" s="8"/>
      <c r="K3" s="32" t="s">
        <v>161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>
      <c r="A4" s="16"/>
      <c r="B4" s="12"/>
      <c r="C4" s="12"/>
      <c r="D4" s="13"/>
      <c r="E4" s="12"/>
      <c r="G4" s="8"/>
      <c r="H4" s="15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69">
      <c r="A5" s="16"/>
      <c r="B5" s="12"/>
      <c r="C5" s="12"/>
      <c r="D5" s="13"/>
      <c r="E5" s="8"/>
      <c r="F5" s="8"/>
      <c r="G5" s="8"/>
      <c r="H5" s="15"/>
      <c r="I5" s="2"/>
      <c r="J5" s="1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69">
      <c r="A6" s="7"/>
      <c r="B6" s="12"/>
      <c r="C6" s="12"/>
      <c r="D6" s="8"/>
      <c r="E6" s="8"/>
      <c r="F6" s="8"/>
      <c r="G6" s="8"/>
      <c r="H6" s="15"/>
      <c r="I6" s="32" t="s">
        <v>162</v>
      </c>
      <c r="J6" s="3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69">
      <c r="A7" s="7"/>
      <c r="B7" s="12"/>
      <c r="C7" s="12"/>
      <c r="D7" s="8"/>
      <c r="E7" s="12" t="s">
        <v>163</v>
      </c>
      <c r="F7" s="17" t="str">
        <f>J4&amp;"index.php/Qwadmin/Rwxy/echosheetname?"</f>
        <v>index.php/Qwadmin/Rwxy/echosheetname?</v>
      </c>
      <c r="G7" s="8"/>
      <c r="H7" s="15"/>
      <c r="I7" s="32" t="s">
        <v>164</v>
      </c>
      <c r="J7" s="3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="1" customFormat="1" ht="14.25" spans="1:8">
      <c r="A8" s="18" t="s">
        <v>165</v>
      </c>
      <c r="B8" s="19"/>
      <c r="C8" s="19"/>
      <c r="D8" s="19"/>
      <c r="E8" s="19"/>
      <c r="F8" s="20"/>
      <c r="G8" s="21"/>
      <c r="H8" s="22"/>
    </row>
    <row r="9" spans="1:71">
      <c r="A9" s="23" t="s">
        <v>166</v>
      </c>
      <c r="B9" s="12"/>
      <c r="C9" s="12"/>
      <c r="D9" s="2"/>
      <c r="E9" s="24"/>
      <c r="F9" s="24"/>
      <c r="G9" s="24"/>
      <c r="H9" s="1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4" t="s">
        <v>17</v>
      </c>
      <c r="BS9" s="34" t="s">
        <v>40</v>
      </c>
    </row>
    <row r="10" s="2" customFormat="1" spans="1:71">
      <c r="A10" s="23"/>
      <c r="B10" s="8"/>
      <c r="C10" s="8"/>
      <c r="D10" s="12"/>
      <c r="E10" s="24"/>
      <c r="F10" s="24"/>
      <c r="G10" s="24"/>
      <c r="H10" s="15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2" t="s">
        <v>26</v>
      </c>
      <c r="BS10" s="32" t="s">
        <v>167</v>
      </c>
    </row>
    <row r="11" spans="1:71">
      <c r="A11" s="23"/>
      <c r="B11" s="25"/>
      <c r="C11" s="25"/>
      <c r="D11" s="25"/>
      <c r="E11" s="24"/>
      <c r="F11" s="26"/>
      <c r="G11" s="26"/>
      <c r="H11" s="15"/>
      <c r="I11" s="2"/>
      <c r="J11" s="32"/>
      <c r="K11" s="2"/>
      <c r="L11" s="25"/>
      <c r="M11" s="25"/>
      <c r="N11" s="28"/>
      <c r="O11" s="28"/>
      <c r="P11" s="28"/>
      <c r="Q11" s="28"/>
      <c r="R11" s="28"/>
      <c r="S11" s="28"/>
      <c r="T11" s="28"/>
      <c r="U11" s="28"/>
      <c r="W11" s="28"/>
      <c r="X11" s="28"/>
      <c r="BR11" s="4" t="s">
        <v>52</v>
      </c>
      <c r="BS11" s="34" t="s">
        <v>168</v>
      </c>
    </row>
    <row r="12" spans="1:71">
      <c r="A12" s="27"/>
      <c r="B12" s="28"/>
      <c r="C12" s="28"/>
      <c r="D12" s="28"/>
      <c r="E12" s="29"/>
      <c r="F12" s="30"/>
      <c r="G12" s="30"/>
      <c r="H12" s="31"/>
      <c r="J12" s="34"/>
      <c r="L12" s="28"/>
      <c r="M12" s="28"/>
      <c r="N12" s="28"/>
      <c r="O12" s="28"/>
      <c r="P12" s="28"/>
      <c r="Q12" s="28"/>
      <c r="R12" s="28"/>
      <c r="S12" s="28"/>
      <c r="T12" s="28"/>
      <c r="U12" s="28"/>
      <c r="W12" s="28"/>
      <c r="X12" s="28"/>
      <c r="BR12" s="4" t="s">
        <v>34</v>
      </c>
      <c r="BS12" s="32" t="s">
        <v>169</v>
      </c>
    </row>
    <row r="13" spans="1:71">
      <c r="A13" s="27"/>
      <c r="B13" s="28"/>
      <c r="C13" s="28"/>
      <c r="D13" s="28"/>
      <c r="F13" s="30"/>
      <c r="G13" s="30"/>
      <c r="J13" s="34"/>
      <c r="L13" s="28"/>
      <c r="M13" s="28"/>
      <c r="N13" s="28"/>
      <c r="O13" s="28"/>
      <c r="P13" s="28"/>
      <c r="Q13" s="28"/>
      <c r="R13" s="28"/>
      <c r="S13" s="28"/>
      <c r="T13" s="28"/>
      <c r="U13" s="28"/>
      <c r="W13" s="28"/>
      <c r="X13" s="28"/>
      <c r="BR13" s="4" t="s">
        <v>5</v>
      </c>
      <c r="BS13" s="34" t="s">
        <v>170</v>
      </c>
    </row>
    <row r="14" spans="1:71">
      <c r="A14" s="27"/>
      <c r="B14" s="28"/>
      <c r="C14" s="28"/>
      <c r="D14" s="28"/>
      <c r="F14" s="30"/>
      <c r="G14" s="30"/>
      <c r="J14" s="34"/>
      <c r="L14" s="28"/>
      <c r="M14" s="28"/>
      <c r="N14" s="28"/>
      <c r="O14" s="28"/>
      <c r="P14" s="28"/>
      <c r="Q14" s="28"/>
      <c r="R14" s="28"/>
      <c r="S14" s="28"/>
      <c r="T14" s="28"/>
      <c r="U14" s="28"/>
      <c r="W14" s="28"/>
      <c r="X14" s="28"/>
      <c r="BR14" s="4" t="s">
        <v>53</v>
      </c>
      <c r="BS14" s="32" t="s">
        <v>171</v>
      </c>
    </row>
    <row r="15" spans="1:71">
      <c r="A15" s="27"/>
      <c r="B15" s="28"/>
      <c r="C15" s="28"/>
      <c r="D15" s="28"/>
      <c r="F15" s="30"/>
      <c r="G15" s="30"/>
      <c r="J15" s="34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BR15" s="4" t="s">
        <v>98</v>
      </c>
      <c r="BS15" s="34" t="s">
        <v>172</v>
      </c>
    </row>
    <row r="16" spans="1:71">
      <c r="A16" s="27"/>
      <c r="B16" s="28"/>
      <c r="C16" s="28"/>
      <c r="D16" s="28"/>
      <c r="F16" s="30"/>
      <c r="G16" s="30"/>
      <c r="I16" s="34"/>
      <c r="J16" s="34"/>
      <c r="L16" s="28"/>
      <c r="M16" s="28"/>
      <c r="N16" s="28"/>
      <c r="O16" s="28"/>
      <c r="P16" s="28"/>
      <c r="Q16" s="28"/>
      <c r="R16" s="28"/>
      <c r="S16" s="28"/>
      <c r="T16" s="28"/>
      <c r="U16" s="28"/>
      <c r="W16" s="28"/>
      <c r="X16" s="28"/>
      <c r="BR16" s="4" t="s">
        <v>173</v>
      </c>
      <c r="BS16" s="4" t="s">
        <v>174</v>
      </c>
    </row>
    <row r="17" spans="1:71">
      <c r="A17" s="27"/>
      <c r="B17" s="28"/>
      <c r="C17" s="28"/>
      <c r="D17" s="28"/>
      <c r="F17" s="30"/>
      <c r="G17" s="30"/>
      <c r="I17" s="34"/>
      <c r="J17" s="34"/>
      <c r="L17" s="28"/>
      <c r="M17" s="28"/>
      <c r="N17" s="28"/>
      <c r="O17" s="28"/>
      <c r="P17" s="28"/>
      <c r="Q17" s="28"/>
      <c r="R17" s="28"/>
      <c r="S17" s="28"/>
      <c r="T17" s="28"/>
      <c r="U17" s="28"/>
      <c r="W17" s="28"/>
      <c r="X17" s="28"/>
      <c r="BR17" s="4" t="s">
        <v>119</v>
      </c>
      <c r="BS17" s="4" t="s">
        <v>175</v>
      </c>
    </row>
    <row r="18" spans="1:71">
      <c r="A18" s="27"/>
      <c r="B18" s="28"/>
      <c r="C18" s="28"/>
      <c r="D18" s="28"/>
      <c r="F18" s="30"/>
      <c r="G18" s="30"/>
      <c r="J18" s="34"/>
      <c r="L18" s="28"/>
      <c r="M18" s="28"/>
      <c r="N18" s="28"/>
      <c r="O18" s="28"/>
      <c r="P18" s="28"/>
      <c r="Q18" s="28"/>
      <c r="R18" s="28"/>
      <c r="S18" s="28"/>
      <c r="T18" s="28"/>
      <c r="U18" s="28"/>
      <c r="W18" s="28"/>
      <c r="X18" s="28"/>
      <c r="BR18" s="4" t="s">
        <v>176</v>
      </c>
      <c r="BS18" s="4" t="s">
        <v>177</v>
      </c>
    </row>
    <row r="19" spans="1:71">
      <c r="A19" s="27"/>
      <c r="B19" s="28"/>
      <c r="C19" s="28"/>
      <c r="D19" s="28"/>
      <c r="F19" s="30"/>
      <c r="G19" s="30"/>
      <c r="J19" s="34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BR19" s="4" t="s">
        <v>121</v>
      </c>
      <c r="BS19" s="4" t="s">
        <v>178</v>
      </c>
    </row>
    <row r="20" spans="1:71">
      <c r="A20" s="27"/>
      <c r="B20" s="28"/>
      <c r="C20" s="28"/>
      <c r="D20" s="28"/>
      <c r="F20" s="30"/>
      <c r="G20" s="30"/>
      <c r="J20" s="34"/>
      <c r="L20" s="28"/>
      <c r="M20" s="28"/>
      <c r="N20" s="28"/>
      <c r="O20" s="28"/>
      <c r="P20" s="28"/>
      <c r="Q20" s="28"/>
      <c r="R20" s="28"/>
      <c r="S20" s="28"/>
      <c r="T20" s="28"/>
      <c r="U20" s="28"/>
      <c r="W20" s="28"/>
      <c r="X20" s="28"/>
      <c r="BR20" s="4" t="s">
        <v>179</v>
      </c>
      <c r="BS20" s="4" t="s">
        <v>180</v>
      </c>
    </row>
    <row r="21" spans="1:71">
      <c r="A21" s="27"/>
      <c r="B21" s="28"/>
      <c r="C21" s="28"/>
      <c r="D21" s="28"/>
      <c r="F21" s="30"/>
      <c r="G21" s="30"/>
      <c r="J21" s="34"/>
      <c r="L21" s="28"/>
      <c r="M21" s="28"/>
      <c r="N21" s="28"/>
      <c r="O21" s="28"/>
      <c r="P21" s="28"/>
      <c r="Q21" s="28"/>
      <c r="R21" s="28"/>
      <c r="S21" s="28"/>
      <c r="T21" s="28"/>
      <c r="U21" s="28"/>
      <c r="W21" s="28"/>
      <c r="X21" s="28"/>
      <c r="BR21" s="4" t="s">
        <v>123</v>
      </c>
      <c r="BS21" s="4" t="s">
        <v>181</v>
      </c>
    </row>
    <row r="22" spans="1:71">
      <c r="A22" s="27"/>
      <c r="B22" s="28"/>
      <c r="C22" s="28"/>
      <c r="D22" s="28"/>
      <c r="F22" s="30"/>
      <c r="G22" s="30"/>
      <c r="J22" s="34"/>
      <c r="L22" s="28"/>
      <c r="M22" s="28"/>
      <c r="N22" s="28"/>
      <c r="O22" s="28"/>
      <c r="P22" s="28"/>
      <c r="Q22" s="28"/>
      <c r="R22" s="28"/>
      <c r="S22" s="28"/>
      <c r="T22" s="28"/>
      <c r="U22" s="28"/>
      <c r="W22" s="28"/>
      <c r="X22" s="28"/>
      <c r="BR22" s="4" t="s">
        <v>182</v>
      </c>
      <c r="BS22" s="4" t="s">
        <v>183</v>
      </c>
    </row>
    <row r="23" spans="1:71">
      <c r="A23" s="27"/>
      <c r="B23" s="28"/>
      <c r="C23" s="28"/>
      <c r="D23" s="28"/>
      <c r="F23" s="30"/>
      <c r="G23" s="30"/>
      <c r="J23" s="34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BR23" s="4" t="s">
        <v>125</v>
      </c>
      <c r="BS23" s="4" t="s">
        <v>184</v>
      </c>
    </row>
    <row r="24" spans="1:71">
      <c r="A24" s="27"/>
      <c r="B24" s="28"/>
      <c r="C24" s="28"/>
      <c r="D24" s="28"/>
      <c r="F24" s="30"/>
      <c r="G24" s="30"/>
      <c r="J24" s="34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BR24" s="4" t="s">
        <v>185</v>
      </c>
      <c r="BS24" s="4" t="s">
        <v>186</v>
      </c>
    </row>
    <row r="25" spans="1:71">
      <c r="A25" s="27"/>
      <c r="B25" s="28"/>
      <c r="C25" s="28"/>
      <c r="D25" s="28"/>
      <c r="F25" s="30"/>
      <c r="G25" s="30"/>
      <c r="J25" s="34"/>
      <c r="L25" s="28"/>
      <c r="M25" s="28"/>
      <c r="N25" s="28"/>
      <c r="O25" s="28"/>
      <c r="P25" s="28"/>
      <c r="Q25" s="28"/>
      <c r="R25" s="28"/>
      <c r="S25" s="28"/>
      <c r="T25" s="28"/>
      <c r="U25" s="28"/>
      <c r="W25" s="28"/>
      <c r="X25" s="28"/>
      <c r="BR25" s="4" t="s">
        <v>127</v>
      </c>
      <c r="BS25" s="4" t="s">
        <v>187</v>
      </c>
    </row>
    <row r="26" spans="1:71">
      <c r="A26" s="27"/>
      <c r="B26" s="28"/>
      <c r="C26" s="28"/>
      <c r="D26" s="28"/>
      <c r="F26" s="30"/>
      <c r="G26" s="30"/>
      <c r="J26" s="34"/>
      <c r="L26" s="28"/>
      <c r="M26" s="28"/>
      <c r="N26" s="28"/>
      <c r="O26" s="28"/>
      <c r="P26" s="28"/>
      <c r="Q26" s="28"/>
      <c r="R26" s="28"/>
      <c r="S26" s="28"/>
      <c r="T26" s="28"/>
      <c r="U26" s="28"/>
      <c r="W26" s="28"/>
      <c r="X26" s="28"/>
      <c r="BR26" s="4" t="s">
        <v>188</v>
      </c>
      <c r="BS26" s="4" t="s">
        <v>189</v>
      </c>
    </row>
    <row r="27" spans="1:71">
      <c r="A27" s="27"/>
      <c r="B27" s="28"/>
      <c r="C27" s="28"/>
      <c r="D27" s="28"/>
      <c r="F27" s="30"/>
      <c r="G27" s="30"/>
      <c r="J27" s="34"/>
      <c r="L27" s="28"/>
      <c r="M27" s="28"/>
      <c r="N27" s="28"/>
      <c r="O27" s="28"/>
      <c r="P27" s="28"/>
      <c r="Q27" s="28"/>
      <c r="R27" s="28"/>
      <c r="S27" s="28"/>
      <c r="T27" s="28"/>
      <c r="U27" s="28"/>
      <c r="W27" s="28"/>
      <c r="X27" s="28"/>
      <c r="BR27" s="4" t="s">
        <v>129</v>
      </c>
      <c r="BS27" s="4" t="s">
        <v>190</v>
      </c>
    </row>
    <row r="28" spans="1:71">
      <c r="A28" s="27"/>
      <c r="B28" s="28"/>
      <c r="C28" s="28"/>
      <c r="D28" s="28"/>
      <c r="F28" s="30"/>
      <c r="G28" s="30"/>
      <c r="J28" s="34"/>
      <c r="L28" s="28"/>
      <c r="M28" s="28"/>
      <c r="N28" s="28"/>
      <c r="O28" s="28"/>
      <c r="P28" s="28"/>
      <c r="Q28" s="28"/>
      <c r="R28" s="28"/>
      <c r="S28" s="28"/>
      <c r="T28" s="28"/>
      <c r="U28" s="28"/>
      <c r="W28" s="28"/>
      <c r="X28" s="28"/>
      <c r="BR28" s="4" t="s">
        <v>191</v>
      </c>
      <c r="BS28" s="4" t="s">
        <v>192</v>
      </c>
    </row>
    <row r="29" spans="1:71">
      <c r="A29" s="27"/>
      <c r="B29" s="28"/>
      <c r="C29" s="28"/>
      <c r="D29" s="28"/>
      <c r="F29" s="30"/>
      <c r="G29" s="30"/>
      <c r="J29" s="34"/>
      <c r="L29" s="28"/>
      <c r="M29" s="28"/>
      <c r="N29" s="28"/>
      <c r="P29" s="28"/>
      <c r="Q29" s="28"/>
      <c r="R29" s="28"/>
      <c r="S29" s="28"/>
      <c r="T29" s="28"/>
      <c r="U29" s="28"/>
      <c r="W29" s="28"/>
      <c r="X29" s="28"/>
      <c r="BR29" s="4" t="s">
        <v>131</v>
      </c>
      <c r="BS29" s="4" t="s">
        <v>193</v>
      </c>
    </row>
    <row r="30" spans="1:71">
      <c r="A30" s="27"/>
      <c r="B30" s="28"/>
      <c r="C30" s="28"/>
      <c r="D30" s="28"/>
      <c r="F30" s="30"/>
      <c r="G30" s="30"/>
      <c r="J30" s="34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BR30" s="4" t="s">
        <v>194</v>
      </c>
      <c r="BS30" s="4" t="s">
        <v>195</v>
      </c>
    </row>
    <row r="31" spans="1:71">
      <c r="A31" s="27"/>
      <c r="B31" s="28"/>
      <c r="C31" s="28"/>
      <c r="D31" s="28"/>
      <c r="F31" s="30"/>
      <c r="G31" s="30"/>
      <c r="J31" s="34"/>
      <c r="L31" s="28"/>
      <c r="M31" s="28"/>
      <c r="N31" s="28"/>
      <c r="O31" s="28"/>
      <c r="P31" s="28"/>
      <c r="Q31" s="28"/>
      <c r="R31" s="28"/>
      <c r="S31" s="28"/>
      <c r="T31" s="28"/>
      <c r="U31" s="28"/>
      <c r="W31" s="28"/>
      <c r="X31" s="28"/>
      <c r="BR31" s="4" t="s">
        <v>133</v>
      </c>
      <c r="BS31" s="4" t="s">
        <v>196</v>
      </c>
    </row>
    <row r="32" spans="1:71">
      <c r="A32" s="27"/>
      <c r="B32" s="28"/>
      <c r="C32" s="28"/>
      <c r="D32" s="28"/>
      <c r="F32" s="30"/>
      <c r="G32" s="30"/>
      <c r="J32" s="34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BR32" s="4" t="s">
        <v>197</v>
      </c>
      <c r="BS32" s="4" t="s">
        <v>198</v>
      </c>
    </row>
    <row r="33" spans="1:71">
      <c r="A33" s="27"/>
      <c r="B33" s="28"/>
      <c r="C33" s="28"/>
      <c r="D33" s="28"/>
      <c r="F33" s="30"/>
      <c r="G33" s="30"/>
      <c r="J33" s="34"/>
      <c r="L33" s="28"/>
      <c r="M33" s="28"/>
      <c r="N33" s="28"/>
      <c r="O33" s="28"/>
      <c r="P33" s="28"/>
      <c r="Q33" s="28"/>
      <c r="R33" s="28"/>
      <c r="S33" s="28"/>
      <c r="T33" s="28"/>
      <c r="U33" s="28"/>
      <c r="W33" s="28"/>
      <c r="X33" s="28"/>
      <c r="BR33" s="4" t="s">
        <v>135</v>
      </c>
      <c r="BS33" s="4" t="s">
        <v>199</v>
      </c>
    </row>
    <row r="34" spans="1:71">
      <c r="A34" s="27"/>
      <c r="B34" s="28"/>
      <c r="C34" s="28"/>
      <c r="D34" s="28"/>
      <c r="F34" s="30"/>
      <c r="G34" s="30"/>
      <c r="J34" s="34"/>
      <c r="L34" s="28"/>
      <c r="M34" s="28"/>
      <c r="N34" s="28"/>
      <c r="O34" s="28"/>
      <c r="P34" s="28"/>
      <c r="Q34" s="28"/>
      <c r="R34" s="28"/>
      <c r="S34" s="28"/>
      <c r="T34" s="28"/>
      <c r="U34" s="28"/>
      <c r="W34" s="28"/>
      <c r="X34" s="28"/>
      <c r="BR34" s="4" t="s">
        <v>200</v>
      </c>
      <c r="BS34" s="4" t="s">
        <v>201</v>
      </c>
    </row>
    <row r="35" spans="1:72">
      <c r="A35" s="27"/>
      <c r="B35" s="28"/>
      <c r="C35" s="28"/>
      <c r="D35" s="28"/>
      <c r="F35" s="30"/>
      <c r="G35" s="30"/>
      <c r="J35" s="34"/>
      <c r="L35" s="28"/>
      <c r="M35" s="28"/>
      <c r="N35" s="28"/>
      <c r="O35" s="28"/>
      <c r="P35" s="28"/>
      <c r="Q35" s="28"/>
      <c r="R35" s="28"/>
      <c r="S35" s="28"/>
      <c r="T35" s="28"/>
      <c r="U35" s="28"/>
      <c r="W35" s="28"/>
      <c r="X35" s="28"/>
      <c r="BR35" s="4" t="s">
        <v>137</v>
      </c>
      <c r="BS35" s="4" t="s">
        <v>202</v>
      </c>
      <c r="BT35" s="4" t="str">
        <f>"A"&amp;BS35</f>
        <v>AAA</v>
      </c>
    </row>
    <row r="36" spans="10:72">
      <c r="J36" s="34"/>
      <c r="BR36" s="4" t="s">
        <v>203</v>
      </c>
      <c r="BS36" s="4" t="s">
        <v>204</v>
      </c>
      <c r="BT36" s="4" t="str">
        <f t="shared" ref="BT36:BT58" si="0">"A"&amp;BS36</f>
        <v>AAB</v>
      </c>
    </row>
    <row r="37" spans="10:72">
      <c r="J37" s="34"/>
      <c r="BR37" s="4" t="s">
        <v>139</v>
      </c>
      <c r="BS37" s="4" t="s">
        <v>205</v>
      </c>
      <c r="BT37" s="4" t="str">
        <f t="shared" si="0"/>
        <v>AAC</v>
      </c>
    </row>
    <row r="38" spans="10:72">
      <c r="J38" s="34"/>
      <c r="BR38" s="4" t="s">
        <v>206</v>
      </c>
      <c r="BS38" s="4" t="s">
        <v>207</v>
      </c>
      <c r="BT38" s="4" t="str">
        <f t="shared" si="0"/>
        <v>AAD</v>
      </c>
    </row>
    <row r="39" spans="10:72">
      <c r="J39" s="34"/>
      <c r="BR39" s="4" t="s">
        <v>141</v>
      </c>
      <c r="BS39" s="4" t="s">
        <v>208</v>
      </c>
      <c r="BT39" s="4" t="str">
        <f t="shared" si="0"/>
        <v>AAE</v>
      </c>
    </row>
    <row r="40" spans="10:72">
      <c r="J40" s="34"/>
      <c r="BR40" s="4" t="s">
        <v>209</v>
      </c>
      <c r="BS40" s="4" t="s">
        <v>210</v>
      </c>
      <c r="BT40" s="4" t="str">
        <f t="shared" si="0"/>
        <v>AAF</v>
      </c>
    </row>
    <row r="41" spans="10:72">
      <c r="J41" s="34"/>
      <c r="BR41" s="4" t="s">
        <v>143</v>
      </c>
      <c r="BS41" s="4" t="s">
        <v>211</v>
      </c>
      <c r="BT41" s="4" t="str">
        <f t="shared" si="0"/>
        <v>AAG</v>
      </c>
    </row>
    <row r="42" spans="10:72">
      <c r="J42" s="34"/>
      <c r="BR42" s="4" t="s">
        <v>212</v>
      </c>
      <c r="BS42" s="4" t="s">
        <v>213</v>
      </c>
      <c r="BT42" s="4" t="str">
        <f t="shared" si="0"/>
        <v>AAH</v>
      </c>
    </row>
    <row r="43" spans="10:72">
      <c r="J43" s="34"/>
      <c r="BR43" s="4" t="s">
        <v>145</v>
      </c>
      <c r="BS43" s="4" t="s">
        <v>214</v>
      </c>
      <c r="BT43" s="4" t="str">
        <f t="shared" si="0"/>
        <v>AAI</v>
      </c>
    </row>
    <row r="44" spans="10:72">
      <c r="J44" s="34"/>
      <c r="BR44" s="4" t="s">
        <v>215</v>
      </c>
      <c r="BS44" s="4" t="s">
        <v>216</v>
      </c>
      <c r="BT44" s="4" t="str">
        <f t="shared" si="0"/>
        <v>AAJ</v>
      </c>
    </row>
    <row r="45" spans="10:72">
      <c r="J45" s="34"/>
      <c r="BR45" s="4" t="s">
        <v>147</v>
      </c>
      <c r="BS45" s="4" t="s">
        <v>217</v>
      </c>
      <c r="BT45" s="4" t="str">
        <f t="shared" si="0"/>
        <v>AAK</v>
      </c>
    </row>
    <row r="46" spans="10:72">
      <c r="J46" s="34"/>
      <c r="BR46" s="4" t="s">
        <v>218</v>
      </c>
      <c r="BS46" s="4" t="s">
        <v>219</v>
      </c>
      <c r="BT46" s="4" t="str">
        <f t="shared" si="0"/>
        <v>AAL</v>
      </c>
    </row>
    <row r="47" spans="10:72">
      <c r="J47" s="34"/>
      <c r="BR47" s="4" t="s">
        <v>149</v>
      </c>
      <c r="BS47" s="4" t="s">
        <v>220</v>
      </c>
      <c r="BT47" s="4" t="str">
        <f t="shared" si="0"/>
        <v>AAM</v>
      </c>
    </row>
    <row r="48" spans="10:72">
      <c r="J48" s="34"/>
      <c r="BR48" s="4" t="s">
        <v>221</v>
      </c>
      <c r="BS48" s="4" t="s">
        <v>222</v>
      </c>
      <c r="BT48" s="4" t="str">
        <f t="shared" si="0"/>
        <v>AAN</v>
      </c>
    </row>
    <row r="49" spans="10:72">
      <c r="J49" s="34"/>
      <c r="BR49" s="4" t="s">
        <v>151</v>
      </c>
      <c r="BS49" s="4" t="s">
        <v>223</v>
      </c>
      <c r="BT49" s="4" t="str">
        <f t="shared" si="0"/>
        <v>AAO</v>
      </c>
    </row>
    <row r="50" spans="70:72">
      <c r="BR50" s="4" t="s">
        <v>224</v>
      </c>
      <c r="BS50" s="4" t="s">
        <v>225</v>
      </c>
      <c r="BT50" s="4" t="str">
        <f t="shared" si="0"/>
        <v>AAP</v>
      </c>
    </row>
    <row r="51" spans="70:72">
      <c r="BR51" s="4" t="s">
        <v>153</v>
      </c>
      <c r="BS51" s="4" t="s">
        <v>226</v>
      </c>
      <c r="BT51" s="4" t="str">
        <f t="shared" si="0"/>
        <v>AAQ</v>
      </c>
    </row>
    <row r="52" spans="70:72">
      <c r="BR52" s="4" t="s">
        <v>227</v>
      </c>
      <c r="BS52" s="4" t="s">
        <v>228</v>
      </c>
      <c r="BT52" s="4" t="str">
        <f t="shared" si="0"/>
        <v>AAR</v>
      </c>
    </row>
    <row r="53" spans="70:72">
      <c r="BR53" s="4" t="s">
        <v>155</v>
      </c>
      <c r="BS53" s="4" t="s">
        <v>229</v>
      </c>
      <c r="BT53" s="4" t="str">
        <f t="shared" si="0"/>
        <v>AAS</v>
      </c>
    </row>
    <row r="54" spans="70:72">
      <c r="BR54" s="4" t="s">
        <v>230</v>
      </c>
      <c r="BS54" s="4" t="s">
        <v>231</v>
      </c>
      <c r="BT54" s="4" t="str">
        <f t="shared" si="0"/>
        <v>AAT</v>
      </c>
    </row>
    <row r="55" spans="70:72">
      <c r="BR55" s="4" t="s">
        <v>157</v>
      </c>
      <c r="BS55" s="4" t="s">
        <v>232</v>
      </c>
      <c r="BT55" s="4" t="str">
        <f t="shared" si="0"/>
        <v>AAU</v>
      </c>
    </row>
    <row r="56" spans="70:72">
      <c r="BR56" s="4" t="s">
        <v>233</v>
      </c>
      <c r="BS56" s="4" t="s">
        <v>234</v>
      </c>
      <c r="BT56" s="4" t="str">
        <f t="shared" si="0"/>
        <v>AAV</v>
      </c>
    </row>
    <row r="57" spans="70:72">
      <c r="BR57" s="4" t="s">
        <v>159</v>
      </c>
      <c r="BS57" s="4" t="s">
        <v>235</v>
      </c>
      <c r="BT57" s="4" t="str">
        <f t="shared" si="0"/>
        <v>AAW</v>
      </c>
    </row>
    <row r="58" spans="70:72">
      <c r="BR58" s="4" t="s">
        <v>236</v>
      </c>
      <c r="BS58" s="4" t="s">
        <v>237</v>
      </c>
      <c r="BT58" s="4" t="str">
        <f t="shared" si="0"/>
        <v>AAX</v>
      </c>
    </row>
  </sheetData>
  <conditionalFormatting sqref="D1">
    <cfRule type="containsText" dxfId="0" priority="2" operator="between" text=" ">
      <formula>NOT(ISERROR(SEARCH(" ",D1)))</formula>
    </cfRule>
  </conditionalFormatting>
  <conditionalFormatting sqref="A9:A10 J1:J5">
    <cfRule type="containsText" dxfId="0" priority="4" operator="between" text=" ">
      <formula>NOT(ISERROR(SEARCH(" ",A1)))</formula>
    </cfRule>
  </conditionalFormatting>
  <conditionalFormatting sqref="A2:C3">
    <cfRule type="containsText" dxfId="0" priority="3" operator="between" text=" ">
      <formula>NOT(ISERROR(SEARCH(" ",A2)))</formula>
    </cfRule>
  </conditionalFormatting>
  <conditionalFormatting sqref="A4:C8">
    <cfRule type="containsText" dxfId="0" priority="1" operator="between" text=" ">
      <formula>NOT(ISERROR(SEARCH(" ",A4)))</formula>
    </cfRule>
  </conditionalFormatting>
  <hyperlinks>
    <hyperlink ref="F7" r:id="rId4" display="=J4&amp;&quot;index.php/Qwadmin/Rwxy/echosheetname?&quot;"/>
  </hyperlink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Sheet2</vt:lpstr>
      <vt:lpstr>姓名查</vt:lpstr>
      <vt:lpstr>工号查</vt:lpstr>
      <vt:lpstr>帮助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dcterms:created xsi:type="dcterms:W3CDTF">2017-09-22T01:14:00Z</dcterms:created>
  <cp:lastPrinted>2017-12-11T23:58:00Z</cp:lastPrinted>
  <dcterms:modified xsi:type="dcterms:W3CDTF">2019-08-29T08:09:13Z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