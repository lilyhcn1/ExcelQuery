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20" windowWidth="20736" windowHeight="10008"/>
  </bookViews>
  <sheets>
    <sheet name="Sheet1" sheetId="8" r:id="rId1"/>
    <sheet name="Sheet2" sheetId="13" r:id="rId2"/>
    <sheet name="姓名查" sheetId="9" r:id="rId3"/>
    <sheet name="工号查" sheetId="10" state="hidden" r:id="rId4"/>
    <sheet name="帮助" sheetId="12" state="hidden" r:id="rId5"/>
  </sheets>
  <functionGroups builtInGroupCount="17"/>
  <definedNames>
    <definedName name="_xlnm._FilterDatabase" localSheetId="0" hidden="1">Sheet1!$A$11:$E$52</definedName>
    <definedName name="ExternalData_1" localSheetId="0">Sheet1!#REF!</definedName>
    <definedName name="ExternalData_1" localSheetId="4">帮助!$A$11:$K$16</definedName>
    <definedName name="ExternalData_1_1" localSheetId="0">Sheet1!$A$9:$F$11</definedName>
    <definedName name="ExternalData_1_3" localSheetId="0">Sheet1!$A$9:$F$11</definedName>
    <definedName name="ExternalData_1_4" localSheetId="0">Sheet1!$A$9:$G$11</definedName>
    <definedName name="ExternalData_1_5" localSheetId="0">Sheet1!$A$9:$G$11</definedName>
    <definedName name="ExternalData_1_6" localSheetId="0">Sheet1!$A$9:$G$11</definedName>
    <definedName name="ExternalData_1_7" localSheetId="0">Sheet1!$A$9:$G$11</definedName>
    <definedName name="ExternalData_10" localSheetId="4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4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4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4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4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4">帮助!$A$11:$A$12</definedName>
    <definedName name="ExternalData_20" localSheetId="4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4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4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4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4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4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4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4">帮助!$A$11:$A$15</definedName>
    <definedName name="ExternalData_28" localSheetId="4">帮助!$A$11:$A$12</definedName>
    <definedName name="ExternalData_29" localSheetId="4">帮助!$A$9:$A$11</definedName>
    <definedName name="ExternalData_3" localSheetId="4">帮助!$A$11:$K$12</definedName>
    <definedName name="ExternalData_30" localSheetId="4">帮助!$A$9:$A$12</definedName>
    <definedName name="ExternalData_31" localSheetId="4">帮助!$A$9:$A$19</definedName>
    <definedName name="ExternalData_32" localSheetId="4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Sheet1!$A$9:$AP$9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Sheet1!$A$9:$AP$9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Sheet1!$A$9:$AP$9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Sheet1!$A$9:$AP$9</definedName>
    <definedName name="ExternalData_386" localSheetId="0">Sheet1!#REF!</definedName>
    <definedName name="ExternalData_387" localSheetId="0">Sheet1!#REF!</definedName>
    <definedName name="ExternalData_388" localSheetId="0">Sheet1!$A$9:$AP$9</definedName>
    <definedName name="ExternalData_389" localSheetId="0">Sheet1!$A$9:$AP$9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Sheet1!$A$9:$AP$9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4">帮助!$A$11:$B$12</definedName>
    <definedName name="ExternalData_400" localSheetId="0">Sheet1!#REF!</definedName>
    <definedName name="ExternalData_402" localSheetId="0">Sheet1!#REF!</definedName>
    <definedName name="ExternalData_403" localSheetId="0">Sheet1!$A$9:$AP$9</definedName>
    <definedName name="ExternalData_404" localSheetId="0">Sheet1!#REF!</definedName>
    <definedName name="ExternalData_405" localSheetId="0">Sheet1!#REF!</definedName>
    <definedName name="ExternalData_407" localSheetId="0">Sheet1!$A$9:$AP$9</definedName>
    <definedName name="ExternalData_408" localSheetId="0">Sheet1!#REF!</definedName>
    <definedName name="ExternalData_409" localSheetId="0">Sheet1!$A$9:$AP$9</definedName>
    <definedName name="ExternalData_411" localSheetId="0">Sheet1!#REF!</definedName>
    <definedName name="ExternalData_412" localSheetId="0">Sheet1!#REF!</definedName>
    <definedName name="ExternalData_413" localSheetId="0">Sheet1!$A$9:$AP$9</definedName>
    <definedName name="ExternalData_415" localSheetId="0">Sheet1!$A$9:$AP$9</definedName>
    <definedName name="ExternalData_417" localSheetId="0">Sheet1!$A$9:$AP$9</definedName>
    <definedName name="ExternalData_419" localSheetId="0">Sheet1!#REF!</definedName>
    <definedName name="ExternalData_420" localSheetId="0">Sheet1!$A$9:$AP$9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Sheet1!$A$9:$AP$9</definedName>
    <definedName name="ExternalData_430" localSheetId="0">Sheet1!#REF!</definedName>
    <definedName name="ExternalData_432" localSheetId="0">Sheet1!$A$9:$AP$9</definedName>
    <definedName name="ExternalData_433" localSheetId="0">Sheet1!#REF!</definedName>
    <definedName name="ExternalData_434" localSheetId="0">Sheet1!#REF!</definedName>
    <definedName name="ExternalData_435" localSheetId="0">Sheet1!$A$9:$AP$9</definedName>
    <definedName name="ExternalData_436" localSheetId="0">Sheet1!#REF!</definedName>
    <definedName name="ExternalData_437" localSheetId="0">Sheet1!$A$9:$AP$9</definedName>
    <definedName name="ExternalData_438" localSheetId="0">Sheet1!$A$9:$AP$9</definedName>
    <definedName name="ExternalData_439" localSheetId="0">Sheet1!#REF!</definedName>
    <definedName name="ExternalData_440" localSheetId="0">Sheet1!$A$9:$AP$9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Sheet1!$A$9:$AP$9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4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4">帮助!$A$11:$B$13</definedName>
    <definedName name="ExternalData_618" localSheetId="0">Sheet1!$A$9:$AW$10</definedName>
    <definedName name="ExternalData_620" localSheetId="0">Sheet1!$A$9:$AW$10</definedName>
    <definedName name="ExternalData_621" localSheetId="0">Sheet1!$A$9:$AW$10</definedName>
    <definedName name="ExternalData_622" localSheetId="0">Sheet1!$A$9:$AW$10</definedName>
    <definedName name="ExternalData_623" localSheetId="0">Sheet1!$A$9:$AW$10</definedName>
    <definedName name="ExternalData_624" localSheetId="0">Sheet1!$A$9:$AW$10</definedName>
    <definedName name="ExternalData_626" localSheetId="0">Sheet1!$A$9:$AW$10</definedName>
    <definedName name="ExternalData_627" localSheetId="0">Sheet1!$A$9:$AX$10</definedName>
    <definedName name="ExternalData_628" localSheetId="0">Sheet1!$A$9:$AW$10</definedName>
    <definedName name="ExternalData_629" localSheetId="0">Sheet1!$A$9:$BH$10</definedName>
    <definedName name="ExternalData_630" localSheetId="0">Sheet1!$A$9:$AW$10</definedName>
    <definedName name="ExternalData_631" localSheetId="0">Sheet1!$A$9:$AW$10</definedName>
    <definedName name="ExternalData_632" localSheetId="0">Sheet1!$A$9:$AW$10</definedName>
    <definedName name="ExternalData_633" localSheetId="0">Sheet1!$A$9:$AW$10</definedName>
    <definedName name="ExternalData_634" localSheetId="0">Sheet1!$A$9:$AW$10</definedName>
    <definedName name="ExternalData_635" localSheetId="0">Sheet1!$A$9:$AW$10</definedName>
    <definedName name="ExternalData_636" localSheetId="0">Sheet1!$A$9:$AW$10</definedName>
    <definedName name="ExternalData_637" localSheetId="0">Sheet1!$A$9:$AW$10</definedName>
    <definedName name="ExternalData_638" localSheetId="0">Sheet1!$A$9:$AW$10</definedName>
    <definedName name="ExternalData_639" localSheetId="0">Sheet1!$A$9:$AW$10</definedName>
    <definedName name="ExternalData_640" localSheetId="0">Sheet1!$A$9:$AW$10</definedName>
    <definedName name="ExternalData_641" localSheetId="0">Sheet1!$A$9:$AW$10</definedName>
    <definedName name="ExternalData_642" localSheetId="0">Sheet1!$A$9:$AW$10</definedName>
    <definedName name="ExternalData_643" localSheetId="0">Sheet1!$A$9:$AW$10</definedName>
    <definedName name="ExternalData_644" localSheetId="0">Sheet1!$A$9:$AW$10</definedName>
    <definedName name="ExternalData_645" localSheetId="0">Sheet1!$A$9:$AW$10</definedName>
    <definedName name="ExternalData_646" localSheetId="0">Sheet1!$A$9:$AW$10</definedName>
    <definedName name="ExternalData_647" localSheetId="0">Sheet1!$A$9:$AW$10</definedName>
    <definedName name="ExternalData_648" localSheetId="0">Sheet1!$A$9:$AW$10</definedName>
    <definedName name="ExternalData_649" localSheetId="0">Sheet1!$A$9:$AW$10</definedName>
    <definedName name="ExternalData_650" localSheetId="0">Sheet1!$A$9:$AW$10</definedName>
    <definedName name="ExternalData_651" localSheetId="0">Sheet1!$A$9:$AW$10</definedName>
    <definedName name="ExternalData_652" localSheetId="0">Sheet1!$A$9:$AW$10</definedName>
    <definedName name="ExternalData_653" localSheetId="0">Sheet1!$A$9:$AW$10</definedName>
    <definedName name="ExternalData_654" localSheetId="0">Sheet1!$A$9:$AW$10</definedName>
    <definedName name="ExternalData_655" localSheetId="0">Sheet1!$A$9:$AW$10</definedName>
    <definedName name="ExternalData_656" localSheetId="0">Sheet1!$A$9:$AW$10</definedName>
    <definedName name="ExternalData_657" localSheetId="0">Sheet1!$A$9:$AW$10</definedName>
    <definedName name="ExternalData_658" localSheetId="0">Sheet1!$A$9:$AW$10</definedName>
    <definedName name="ExternalData_659" localSheetId="0">Sheet1!$A$9:$AW$10</definedName>
    <definedName name="ExternalData_660" localSheetId="0">Sheet1!$A$9:$AW$10</definedName>
    <definedName name="ExternalData_661" localSheetId="0">Sheet1!$A$9:$AW$10</definedName>
    <definedName name="ExternalData_662" localSheetId="0">Sheet1!$A$9:$AW$10</definedName>
    <definedName name="ExternalData_663" localSheetId="0">Sheet1!$A$9:$AW$10</definedName>
    <definedName name="ExternalData_668" localSheetId="0">Sheet1!$A$9:$AW$10</definedName>
    <definedName name="ExternalData_669" localSheetId="0">Sheet1!$A$9:$AW$10</definedName>
    <definedName name="ExternalData_670" localSheetId="0">Sheet1!$A$9:$AW$10</definedName>
    <definedName name="ExternalData_671" localSheetId="0">Sheet1!$A$9:$AW$10</definedName>
    <definedName name="ExternalData_672" localSheetId="0">Sheet1!$A$9:$AW$10</definedName>
    <definedName name="ExternalData_673" localSheetId="0">Sheet1!$A$9:$AW$10</definedName>
    <definedName name="ExternalData_674" localSheetId="0">Sheet1!$A$9:$AW$10</definedName>
    <definedName name="ExternalData_675" localSheetId="0">Sheet1!$A$9:$AW$10</definedName>
    <definedName name="ExternalData_677" localSheetId="0">Sheet1!$A$9:$AW$10</definedName>
    <definedName name="ExternalData_682" localSheetId="0">Sheet1!$A$9:$AW$10</definedName>
    <definedName name="ExternalData_686" localSheetId="0">Sheet1!$A$9:$AW$10</definedName>
    <definedName name="ExternalData_692" localSheetId="0">Sheet1!$A$9:$AW$10</definedName>
    <definedName name="ExternalData_693" localSheetId="0">Sheet1!$A$9:$AW$10</definedName>
    <definedName name="ExternalData_694" localSheetId="0">Sheet1!$A$9:$AW$10</definedName>
    <definedName name="ExternalData_695" localSheetId="0">Sheet1!$A$9:$AW$10</definedName>
    <definedName name="ExternalData_696" localSheetId="0">Sheet1!$A$9:$AW$10</definedName>
    <definedName name="ExternalData_697" localSheetId="0">Sheet1!$A$9:$AW$10</definedName>
    <definedName name="ExternalData_699" localSheetId="0">Sheet1!$A$9:$AW$10</definedName>
    <definedName name="ExternalData_7" localSheetId="4">帮助!$A$11:$A$12</definedName>
    <definedName name="ExternalData_700" localSheetId="0">Sheet1!$A$9:$AW$10</definedName>
    <definedName name="ExternalData_701" localSheetId="0">Sheet1!$A$9:$AW$10</definedName>
    <definedName name="ExternalData_702" localSheetId="0">Sheet1!$A$9:$AW$10</definedName>
    <definedName name="ExternalData_703" localSheetId="0">Sheet1!$A$9:$AW$10</definedName>
    <definedName name="ExternalData_704" localSheetId="0">Sheet1!$A$9:$AW$10</definedName>
    <definedName name="ExternalData_705" localSheetId="0">Sheet1!$A$9:$AW$10</definedName>
    <definedName name="ExternalData_706" localSheetId="0">Sheet1!$A$9:$AW$10</definedName>
    <definedName name="ExternalData_707" localSheetId="0">Sheet1!$A$9:$AW$10</definedName>
    <definedName name="ExternalData_708" localSheetId="0">Sheet1!$A$9:$AW$10</definedName>
    <definedName name="ExternalData_710" localSheetId="0">Sheet1!$A$9:$AW$10</definedName>
    <definedName name="ExternalData_711" localSheetId="0">Sheet1!$A$9:$AW$10</definedName>
    <definedName name="ExternalData_712" localSheetId="0">Sheet1!$A$9:$AW$10</definedName>
    <definedName name="ExternalData_715" localSheetId="0">Sheet1!$A$9:$AW$10</definedName>
    <definedName name="ExternalData_716" localSheetId="0">Sheet1!$A$9:$AW$11</definedName>
    <definedName name="ExternalData_717" localSheetId="0">Sheet1!$A$9:$AW$11</definedName>
    <definedName name="ExternalData_718" localSheetId="0">Sheet1!#REF!</definedName>
    <definedName name="ExternalData_719" localSheetId="0">Sheet1!$A$9:$AW$11</definedName>
    <definedName name="ExternalData_720" localSheetId="0">Sheet1!$A$9:$AW$11</definedName>
    <definedName name="ExternalData_721" localSheetId="0">Sheet1!$A$9:$AW$11</definedName>
    <definedName name="ExternalData_722" localSheetId="0">Sheet1!$A$9:$AW$11</definedName>
    <definedName name="ExternalData_723" localSheetId="0">Sheet1!$A$9:$AW$11</definedName>
    <definedName name="ExternalData_724" localSheetId="0">Sheet1!$A$9:$AW$12</definedName>
    <definedName name="ExternalData_725" localSheetId="0">Sheet1!$A$9:$AW$12</definedName>
    <definedName name="ExternalData_726" localSheetId="0">Sheet1!$A$9:$AW$12</definedName>
    <definedName name="ExternalData_727" localSheetId="0">Sheet1!$A$9:$AW$12</definedName>
    <definedName name="ExternalData_728" localSheetId="0">Sheet1!$A$9:$AW$12</definedName>
    <definedName name="ExternalData_730" localSheetId="0">Sheet1!$A$9:$AW$12</definedName>
    <definedName name="ExternalData_731" localSheetId="0">Sheet1!$A$9:$AW$12</definedName>
    <definedName name="ExternalData_732" localSheetId="0">Sheet1!$A$9:$AW$12</definedName>
    <definedName name="ExternalData_735" localSheetId="0">Sheet1!$A$9:$AW$12</definedName>
    <definedName name="ExternalData_736" localSheetId="0">Sheet1!$A$9:$AW$12</definedName>
    <definedName name="ExternalData_737" localSheetId="0">Sheet1!$A$9:$AW$12</definedName>
    <definedName name="ExternalData_738" localSheetId="0">Sheet1!$A$9:$AW$12</definedName>
    <definedName name="ExternalData_739" localSheetId="0">Sheet1!$A$9:$AW$12</definedName>
    <definedName name="ExternalData_740" localSheetId="0">Sheet1!$A$9:$AW$12</definedName>
    <definedName name="ExternalData_741" localSheetId="0">Sheet1!$A$9:$AW$12</definedName>
    <definedName name="ExternalData_742" localSheetId="0">Sheet1!$A$9:$AW$12</definedName>
    <definedName name="ExternalData_743" localSheetId="0">Sheet1!$A$9:$AW$12</definedName>
    <definedName name="ExternalData_744" localSheetId="0">Sheet1!$A$9:$AW$12</definedName>
    <definedName name="ExternalData_745" localSheetId="0">Sheet1!$A$9:$AW$12</definedName>
    <definedName name="ExternalData_746" localSheetId="0">Sheet1!$A$9:$AW$12</definedName>
    <definedName name="ExternalData_747" localSheetId="0">Sheet1!$A$9:$AW$12</definedName>
    <definedName name="ExternalData_748" localSheetId="0">Sheet1!$A$9:$AW$12</definedName>
    <definedName name="ExternalData_749" localSheetId="0">Sheet1!$A$9:$AW$12</definedName>
    <definedName name="ExternalData_753" localSheetId="0">Sheet1!$A$9:$AW$12</definedName>
    <definedName name="ExternalData_754" localSheetId="0">Sheet1!$A$9:$AW$12</definedName>
    <definedName name="ExternalData_756" localSheetId="0">Sheet1!$A$9:$AW$12</definedName>
    <definedName name="ExternalData_759" localSheetId="0">Sheet1!$A$9:$AW$12</definedName>
    <definedName name="ExternalData_760" localSheetId="0">Sheet1!$A$9:$AW$11</definedName>
    <definedName name="ExternalData_761" localSheetId="0">Sheet1!$A$9:$AW$11</definedName>
    <definedName name="ExternalData_762" localSheetId="0">Sheet1!$A$9:$AW$11</definedName>
    <definedName name="ExternalData_766" localSheetId="0">Sheet1!$A$9:$AW$12</definedName>
    <definedName name="ExternalData_767" localSheetId="0">Sheet1!$A$9:$AW$11</definedName>
    <definedName name="ExternalData_770" localSheetId="0">Sheet1!$A$9:$AW$11</definedName>
    <definedName name="ExternalData_771" localSheetId="0">Sheet1!$A$9:$AW$12</definedName>
    <definedName name="ExternalData_772" localSheetId="0">Sheet1!$A$9:$AW$12</definedName>
    <definedName name="ExternalData_773" localSheetId="0">Sheet1!$A$9:$AW$12</definedName>
    <definedName name="ExternalData_774" localSheetId="0">Sheet1!$A$9:$AW$12</definedName>
    <definedName name="ExternalData_775" localSheetId="0">Sheet1!$A$9:$AW$12</definedName>
    <definedName name="ExternalData_776" localSheetId="0">Sheet1!$A$9:$AW$12</definedName>
    <definedName name="ExternalData_777" localSheetId="0">Sheet1!$A$9:$AW$12</definedName>
    <definedName name="ExternalData_778" localSheetId="0">Sheet1!$A$9:$AW$12</definedName>
    <definedName name="ExternalData_779" localSheetId="0">Sheet1!$A$9:$BH$11</definedName>
    <definedName name="ExternalData_780" localSheetId="0">Sheet1!$A$9:$F$10</definedName>
    <definedName name="ExternalData_781" localSheetId="0">Sheet1!$A$9:$F$10</definedName>
    <definedName name="ExternalData_782" localSheetId="0">Sheet1!$A$9:$F$10</definedName>
    <definedName name="ExternalData_783" localSheetId="0">Sheet1!$A$9:$F$10</definedName>
    <definedName name="ExternalData_784" localSheetId="0">Sheet1!$A$9:$F$10</definedName>
    <definedName name="ExternalData_785" localSheetId="0">Sheet1!$A$9:$F$10</definedName>
    <definedName name="ExternalData_786" localSheetId="0">Sheet1!$A$9:$F$10</definedName>
    <definedName name="ExternalData_787" localSheetId="0">Sheet1!$A$9:$F$10</definedName>
    <definedName name="ExternalData_788" localSheetId="0">Sheet1!$A$9:$F$10</definedName>
    <definedName name="ExternalData_789" localSheetId="0">Sheet1!$A$9:$F$10</definedName>
    <definedName name="ExternalData_790" localSheetId="0">Sheet1!$A$9:$F$10</definedName>
    <definedName name="ExternalData_791" localSheetId="0">Sheet1!$A$9:$F$10</definedName>
    <definedName name="ExternalData_793" localSheetId="0">Sheet1!$A$9:$F$10</definedName>
    <definedName name="ExternalData_794" localSheetId="0">Sheet1!$A$9:$F$12</definedName>
    <definedName name="ExternalData_795" localSheetId="0">Sheet1!$A$9:$F$12</definedName>
    <definedName name="ExternalData_796" localSheetId="0">Sheet1!$A$9:$F$12</definedName>
    <definedName name="ExternalData_797" localSheetId="0">Sheet1!$A$9:$F$12</definedName>
    <definedName name="ExternalData_798" localSheetId="0">Sheet1!$A$9:$F$12</definedName>
    <definedName name="ExternalData_799" localSheetId="0">Sheet1!$A$9:$F$12</definedName>
    <definedName name="ExternalData_8" localSheetId="4">帮助!$A$11:$A$15</definedName>
    <definedName name="ExternalData_800" localSheetId="0">Sheet1!$A$9:$F$12</definedName>
    <definedName name="ExternalData_801" localSheetId="0">Sheet1!$A$9:$F$12</definedName>
    <definedName name="ExternalData_802" localSheetId="0">Sheet1!$A$9:$F$12</definedName>
    <definedName name="ExternalData_803" localSheetId="0">Sheet1!$A$9:$F$12</definedName>
    <definedName name="ExternalData_804" localSheetId="0">Sheet1!$A$9:$F$12</definedName>
    <definedName name="ExternalData_805" localSheetId="0">Sheet1!#REF!</definedName>
    <definedName name="ExternalData_806" localSheetId="0">Sheet1!$A$9:$F$14</definedName>
    <definedName name="ExternalData_807" localSheetId="0">Sheet1!#REF!</definedName>
    <definedName name="ExternalData_808" localSheetId="0">Sheet1!#REF!</definedName>
    <definedName name="ExternalData_809" localSheetId="0">Sheet1!$A$9:$F$14</definedName>
    <definedName name="ExternalData_810" localSheetId="0">Sheet1!$A$9:$F$11</definedName>
    <definedName name="ExternalData_811" localSheetId="0">Sheet1!#REF!</definedName>
    <definedName name="ExternalData_812" localSheetId="0">Sheet1!$A$9:$F$12</definedName>
    <definedName name="ExternalData_813" localSheetId="0">Sheet1!$A$9:$F$11</definedName>
    <definedName name="ExternalData_814" localSheetId="0">Sheet1!$A$9:$F$11</definedName>
    <definedName name="ExternalData_815" localSheetId="0">Sheet1!$A$9:$F$11</definedName>
    <definedName name="ExternalData_816" localSheetId="0">Sheet1!$A$9:$F$11</definedName>
    <definedName name="ExternalData_817" localSheetId="0">Sheet1!$A$9:$F$12</definedName>
    <definedName name="ExternalData_818" localSheetId="0">Sheet1!$A$9:$F$11</definedName>
    <definedName name="ExternalData_819" localSheetId="0">Sheet1!$A$9:$F$11</definedName>
    <definedName name="ExternalData_820" localSheetId="0">Sheet1!$A$9:$F$11</definedName>
    <definedName name="ExternalData_821" localSheetId="0">Sheet1!$A$9:$F$12</definedName>
    <definedName name="ExternalData_822" localSheetId="0">Sheet1!$A$9:$F$12</definedName>
    <definedName name="ExternalData_823" localSheetId="0">Sheet1!$A$9:$F$12</definedName>
    <definedName name="ExternalData_824" localSheetId="0">Sheet1!$A$9:$G$18</definedName>
    <definedName name="ExternalData_825" localSheetId="0">Sheet1!$A$9:$F$12</definedName>
    <definedName name="ExternalData_826" localSheetId="0">Sheet1!#REF!</definedName>
    <definedName name="ExternalData_827" localSheetId="0">Sheet1!$A$9:$F$12</definedName>
    <definedName name="ExternalData_828" localSheetId="0">Sheet1!$A$9:$F$12</definedName>
    <definedName name="ExternalData_829" localSheetId="0">Sheet1!$A$9:$F$12</definedName>
    <definedName name="ExternalData_83" localSheetId="0">Sheet1!#REF!</definedName>
    <definedName name="ExternalData_830" localSheetId="0">Sheet1!$A$9:$F$13</definedName>
    <definedName name="ExternalData_831" localSheetId="0">Sheet1!$A$9:$G$13</definedName>
    <definedName name="ExternalData_832" localSheetId="0">Sheet1!$A$9:$F$13</definedName>
    <definedName name="ExternalData_833" localSheetId="0">Sheet1!$A$9:$F$13</definedName>
    <definedName name="ExternalData_834" localSheetId="0">Sheet1!$A$9:$F$13</definedName>
    <definedName name="ExternalData_835" localSheetId="0">Sheet1!$A$9:$F$13</definedName>
    <definedName name="ExternalData_836" localSheetId="0">Sheet1!$A$9:$F$13</definedName>
    <definedName name="ExternalData_837" localSheetId="0">Sheet1!$A$9:$F$13</definedName>
    <definedName name="ExternalData_838" localSheetId="0">Sheet1!$A$9:$F$13</definedName>
    <definedName name="ExternalData_839" localSheetId="0">Sheet1!$A$9:$F$13</definedName>
    <definedName name="ExternalData_84" localSheetId="0">Sheet1!#REF!</definedName>
    <definedName name="ExternalData_840" localSheetId="0">Sheet1!$A$9:$F$13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Sheet1!$A$9:$F$12</definedName>
    <definedName name="ExternalData_858" localSheetId="0">Sheet1!$A$9:$F$12</definedName>
    <definedName name="ExternalData_859" localSheetId="0">Sheet1!$A$9:$F$12</definedName>
    <definedName name="ExternalData_860" localSheetId="0">Sheet1!$A$9:$F$12</definedName>
    <definedName name="ExternalData_861" localSheetId="0">Sheet1!$A$9:$D$12</definedName>
    <definedName name="ExternalData_862" localSheetId="0">Sheet1!$A$9:$E$12</definedName>
    <definedName name="ExternalData_863" localSheetId="0">Sheet1!#REF!</definedName>
    <definedName name="ExternalData_864" localSheetId="0">Sheet1!#REF!</definedName>
    <definedName name="ExternalData_865" localSheetId="0">Sheet1!$A$9:$F$11</definedName>
    <definedName name="ExternalData_866" localSheetId="0">Sheet1!$A$9:$F$11</definedName>
    <definedName name="ExternalData_867" localSheetId="0">Sheet1!$A$9:$F$11</definedName>
    <definedName name="ExternalData_868" localSheetId="0">Sheet1!$A$9:$F$15</definedName>
    <definedName name="ExternalData_869" localSheetId="0">Sheet1!$A$9:$F$11</definedName>
    <definedName name="ExternalData_870" localSheetId="0">Sheet1!$A$9:$F$11</definedName>
    <definedName name="ExternalData_871" localSheetId="0">Sheet1!$A$9:$G$11</definedName>
    <definedName name="ExternalData_872" localSheetId="0">Sheet1!$A$9:$G$11</definedName>
    <definedName name="ExternalData_873" localSheetId="0">Sheet1!$A$9:$G$15</definedName>
    <definedName name="ExternalData_873" localSheetId="1">Sheet2!$A$9:$G$15</definedName>
    <definedName name="ExternalData_874" localSheetId="0">Sheet1!$A$9:$G$15</definedName>
    <definedName name="ExternalData_874" localSheetId="1">Sheet2!$A$9:$G$15</definedName>
    <definedName name="ExternalData_875" localSheetId="0">Sheet1!$A$9:$G$15</definedName>
    <definedName name="ExternalData_875" localSheetId="1">Sheet2!$A$9:$G$15</definedName>
    <definedName name="ExternalData_876" localSheetId="0">Sheet1!$A$9:$G$15</definedName>
    <definedName name="ExternalData_876" localSheetId="1">Sheet2!$A$9:$G$15</definedName>
    <definedName name="ExternalData_877" localSheetId="0">Sheet1!$A$9:$H$16</definedName>
    <definedName name="ExternalData_877" localSheetId="1">Sheet2!$A$9:$H$16</definedName>
    <definedName name="ExternalData_878" localSheetId="0">Sheet1!$A$9:$H$16</definedName>
    <definedName name="ExternalData_878" localSheetId="1">Sheet2!$A$9:$H$16</definedName>
    <definedName name="ExternalData_879" localSheetId="0">Sheet1!$A$9:$H$16</definedName>
    <definedName name="ExternalData_879" localSheetId="1">Sheet2!$A$9:$H$16</definedName>
    <definedName name="ExternalData_880" localSheetId="0">Sheet1!$A$9:$H$16</definedName>
    <definedName name="ExternalData_880" localSheetId="1">Sheet2!$A$9:$H$16</definedName>
    <definedName name="ExternalData_881" localSheetId="0">Sheet1!$A$9:$H$16</definedName>
    <definedName name="ExternalData_881" localSheetId="1">Sheet2!$A$9:$H$16</definedName>
    <definedName name="ExternalData_882" localSheetId="0">Sheet1!$A$9:$G$16</definedName>
    <definedName name="ExternalData_882" localSheetId="1">Sheet2!$A$9:$G$16</definedName>
    <definedName name="ExternalData_883" localSheetId="0">Sheet1!$A$9:$G$16</definedName>
    <definedName name="ExternalData_883" localSheetId="1">Sheet2!$A$9:$G$16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Sheet1!$A$9:$G$15</definedName>
    <definedName name="ExternalData_892" localSheetId="1">Sheet2!$A$9:$G$15</definedName>
    <definedName name="ExternalData_9" localSheetId="4">帮助!$A$11:$A$15</definedName>
    <definedName name="ExternalData_90" localSheetId="0">Sheet1!#REF!</definedName>
    <definedName name="ExternalData_900" localSheetId="0">Sheet1!$A$9:$G$15</definedName>
    <definedName name="ExternalData_900" localSheetId="1">Sheet2!$A$9:$G$15</definedName>
    <definedName name="ExternalData_91" localSheetId="0">Sheet1!#REF!</definedName>
    <definedName name="ExternalData_913" localSheetId="0">Sheet1!#REF!</definedName>
    <definedName name="ExternalData_92" localSheetId="0">Sheet1!#REF!</definedName>
    <definedName name="ExternalData_93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5" localSheetId="0">Sheet1!#REF!</definedName>
    <definedName name="ExternalData_953" localSheetId="0">Sheet1!$A$9:$G$15</definedName>
    <definedName name="ExternalData_953" localSheetId="1">Sheet2!$A$9:$G$15</definedName>
    <definedName name="ExternalData_954" localSheetId="0">Sheet1!$A$9:$A$10</definedName>
    <definedName name="ExternalData_954" localSheetId="1">Sheet2!$A$9:$A$10</definedName>
    <definedName name="ExternalData_955" localSheetId="0">Sheet1!$A$9:$G$17</definedName>
    <definedName name="ExternalData_955" localSheetId="1">Sheet2!$A$9:$G$17</definedName>
    <definedName name="ExternalData_956" localSheetId="0">Sheet1!$A$9:$G$17</definedName>
    <definedName name="ExternalData_956" localSheetId="1">Sheet2!$A$9:$G$17</definedName>
    <definedName name="ExternalData_957" localSheetId="0">Sheet1!$A$9:$E$52</definedName>
    <definedName name="ExternalData_958" localSheetId="0">Sheet1!$A$9:$E$52</definedName>
    <definedName name="ExternalData_959" localSheetId="0">Sheet1!$A$9:$E$53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4525"/>
</workbook>
</file>

<file path=xl/calcChain.xml><?xml version="1.0" encoding="utf-8"?>
<calcChain xmlns="http://schemas.openxmlformats.org/spreadsheetml/2006/main">
  <c r="B19" i="13" l="1"/>
  <c r="B18" i="13"/>
  <c r="B17" i="13"/>
  <c r="B16" i="13"/>
  <c r="B15" i="13"/>
  <c r="B14" i="13"/>
  <c r="B13" i="13"/>
  <c r="B12" i="13"/>
  <c r="W2" i="9"/>
  <c r="O2" i="9"/>
  <c r="V2" i="9"/>
  <c r="I2" i="9"/>
  <c r="B7" i="9"/>
  <c r="N2" i="9"/>
  <c r="B5" i="9"/>
  <c r="B3" i="9"/>
  <c r="B9" i="9"/>
  <c r="C2" i="9"/>
  <c r="Y2" i="9"/>
  <c r="F2" i="9"/>
  <c r="D2" i="9"/>
  <c r="B8" i="9"/>
  <c r="M2" i="9"/>
  <c r="X2" i="9"/>
  <c r="L2" i="9"/>
  <c r="K2" i="9"/>
  <c r="P2" i="9"/>
  <c r="G2" i="9"/>
  <c r="R2" i="9"/>
  <c r="AA2" i="9"/>
  <c r="T2" i="9"/>
  <c r="B6" i="9"/>
  <c r="Z2" i="9"/>
  <c r="S2" i="9"/>
  <c r="B2" i="9"/>
  <c r="Q2" i="9"/>
  <c r="H2" i="9"/>
  <c r="U2" i="9"/>
  <c r="J2" i="9"/>
  <c r="B4" i="9"/>
  <c r="E2" i="9"/>
  <c r="O6" i="13" l="1"/>
  <c r="O5" i="13"/>
  <c r="O4" i="13"/>
  <c r="O3" i="13"/>
  <c r="O6" i="8" l="1"/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O5" i="8"/>
  <c r="O3" i="8"/>
  <c r="O4" i="8"/>
  <c r="I10" i="9"/>
  <c r="K11" i="10"/>
  <c r="L15" i="10"/>
  <c r="G8" i="9"/>
  <c r="D11" i="10"/>
  <c r="Q3" i="10"/>
  <c r="D6" i="10"/>
  <c r="E13" i="10"/>
  <c r="U14" i="10"/>
  <c r="D4" i="9"/>
  <c r="L8" i="9"/>
  <c r="H13" i="10"/>
  <c r="B11" i="9"/>
  <c r="J12" i="9"/>
  <c r="I10" i="10"/>
  <c r="D15" i="10"/>
  <c r="L10" i="9"/>
  <c r="R8" i="9"/>
  <c r="M6" i="10"/>
  <c r="Q11" i="9"/>
  <c r="L10" i="10"/>
  <c r="T7" i="10"/>
  <c r="D13" i="9"/>
  <c r="N7" i="9"/>
  <c r="Q7" i="9"/>
  <c r="B12" i="10"/>
  <c r="C14" i="10"/>
  <c r="I14" i="10"/>
  <c r="H6" i="9"/>
  <c r="R12" i="9"/>
  <c r="T14" i="10"/>
  <c r="O12" i="10"/>
  <c r="I4" i="10"/>
  <c r="Q5" i="9"/>
  <c r="F7" i="9"/>
  <c r="C12" i="10"/>
  <c r="E3" i="10"/>
  <c r="K11" i="9"/>
  <c r="H11" i="9"/>
  <c r="I8" i="9"/>
  <c r="C10" i="9"/>
  <c r="E15" i="10"/>
  <c r="R10" i="10"/>
  <c r="K7" i="9"/>
  <c r="Q14" i="10"/>
  <c r="B7" i="10"/>
  <c r="G12" i="9"/>
  <c r="H12" i="10"/>
  <c r="M13" i="10"/>
  <c r="L5" i="10"/>
  <c r="U6" i="10"/>
  <c r="E9" i="9"/>
  <c r="M7" i="9"/>
  <c r="M6" i="9"/>
  <c r="P16" i="10"/>
  <c r="K6" i="9"/>
  <c r="K5" i="9"/>
  <c r="B13" i="9"/>
  <c r="P14" i="10"/>
  <c r="L4" i="9"/>
  <c r="T13" i="10"/>
  <c r="M9" i="9"/>
  <c r="Q14" i="9"/>
  <c r="U11" i="10"/>
  <c r="J5" i="10"/>
  <c r="J10" i="10"/>
  <c r="F5" i="10"/>
  <c r="G5" i="10"/>
  <c r="E14" i="10"/>
  <c r="T15" i="10"/>
  <c r="H14" i="9"/>
  <c r="N14" i="10"/>
  <c r="M4" i="10"/>
  <c r="U13" i="10"/>
  <c r="R6" i="9"/>
  <c r="P14" i="9"/>
  <c r="Q13" i="10"/>
  <c r="F4" i="10"/>
  <c r="Q6" i="9"/>
  <c r="M8" i="10"/>
  <c r="D7" i="10"/>
  <c r="F12" i="10"/>
  <c r="J9" i="10"/>
  <c r="L8" i="10"/>
  <c r="P6" i="10"/>
  <c r="K5" i="10"/>
  <c r="R13" i="10"/>
  <c r="N6" i="9"/>
  <c r="L13" i="9"/>
  <c r="H15" i="10"/>
  <c r="C13" i="9"/>
  <c r="R11" i="10"/>
  <c r="G6" i="10"/>
  <c r="N3" i="9"/>
  <c r="F14" i="9"/>
  <c r="D4" i="10"/>
  <c r="B11" i="10"/>
  <c r="H5" i="10"/>
  <c r="G3" i="9"/>
  <c r="Q10" i="9"/>
  <c r="O6" i="9"/>
  <c r="K9" i="9"/>
  <c r="K15" i="10"/>
  <c r="F15" i="10"/>
  <c r="J14" i="10"/>
  <c r="D7" i="9"/>
  <c r="E8" i="9"/>
  <c r="J6" i="10"/>
  <c r="N12" i="10"/>
  <c r="R13" i="9"/>
  <c r="U7" i="10"/>
  <c r="G9" i="9"/>
  <c r="P10" i="10"/>
  <c r="K7" i="10"/>
  <c r="D16" i="10"/>
  <c r="O11" i="9"/>
  <c r="N4" i="10"/>
  <c r="K9" i="10"/>
  <c r="L12" i="10"/>
  <c r="I4" i="9"/>
  <c r="C8" i="10"/>
  <c r="K14" i="9"/>
  <c r="F13" i="10"/>
  <c r="B13" i="10"/>
  <c r="L6" i="10"/>
  <c r="G14" i="10"/>
  <c r="S15" i="10"/>
  <c r="B3" i="10"/>
  <c r="R16" i="10"/>
  <c r="I14" i="9"/>
  <c r="O9" i="9"/>
  <c r="R10" i="9"/>
  <c r="I13" i="10"/>
  <c r="G11" i="10"/>
  <c r="P13" i="10"/>
  <c r="O4" i="9"/>
  <c r="G12" i="10"/>
  <c r="R7" i="10"/>
  <c r="J10" i="9"/>
  <c r="M5" i="10"/>
  <c r="F3" i="10"/>
  <c r="R9" i="9"/>
  <c r="N5" i="9"/>
  <c r="D5" i="10"/>
  <c r="R7" i="9"/>
  <c r="C14" i="9"/>
  <c r="S14" i="10"/>
  <c r="J8" i="10"/>
  <c r="C4" i="9"/>
  <c r="I12" i="10"/>
  <c r="T6" i="10"/>
  <c r="J6" i="9"/>
  <c r="F11" i="9"/>
  <c r="R14" i="9"/>
  <c r="H5" i="9"/>
  <c r="Q8" i="10"/>
  <c r="D11" i="9"/>
  <c r="L14" i="10"/>
  <c r="N13" i="10"/>
  <c r="P11" i="9"/>
  <c r="M16" i="10"/>
  <c r="R11" i="9"/>
  <c r="B9" i="10"/>
  <c r="N15" i="10"/>
  <c r="S8" i="10"/>
  <c r="L16" i="10"/>
  <c r="Q12" i="9"/>
  <c r="L9" i="9"/>
  <c r="J9" i="9"/>
  <c r="K13" i="10"/>
  <c r="F6" i="9"/>
  <c r="R5" i="10"/>
  <c r="O10" i="9"/>
  <c r="O3" i="10"/>
  <c r="D8" i="9"/>
  <c r="P4" i="9"/>
  <c r="K4" i="10"/>
  <c r="C6" i="9"/>
  <c r="M13" i="9"/>
  <c r="J13" i="9"/>
  <c r="I8" i="10"/>
  <c r="P7" i="9"/>
  <c r="B16" i="10"/>
  <c r="E16" i="10"/>
  <c r="B15" i="10"/>
  <c r="L7" i="10"/>
  <c r="I3" i="9"/>
  <c r="U16" i="10"/>
  <c r="P12" i="9"/>
  <c r="H7" i="10"/>
  <c r="G11" i="9"/>
  <c r="S6" i="10"/>
  <c r="M3" i="10"/>
  <c r="B6" i="10"/>
  <c r="L6" i="9"/>
  <c r="K6" i="10"/>
  <c r="J4" i="9"/>
  <c r="S9" i="10"/>
  <c r="D6" i="9"/>
  <c r="D9" i="10"/>
  <c r="O13" i="10"/>
  <c r="C5" i="9"/>
  <c r="J5" i="9"/>
  <c r="N11" i="9"/>
  <c r="C5" i="10"/>
  <c r="C9" i="9"/>
  <c r="P9" i="10"/>
  <c r="G16" i="10"/>
  <c r="M14" i="10"/>
  <c r="G14" i="9"/>
  <c r="G5" i="9"/>
  <c r="K3" i="10"/>
  <c r="Q13" i="9"/>
  <c r="N13" i="9"/>
  <c r="P8" i="9"/>
  <c r="I11" i="10"/>
  <c r="F10" i="9"/>
  <c r="E13" i="9"/>
  <c r="O7" i="9"/>
  <c r="F3" i="9"/>
  <c r="L14" i="9"/>
  <c r="F4" i="9"/>
  <c r="C10" i="10"/>
  <c r="G13" i="10"/>
  <c r="B14" i="9"/>
  <c r="H13" i="9"/>
  <c r="M7" i="10"/>
  <c r="T4" i="10"/>
  <c r="C8" i="9"/>
  <c r="L5" i="9"/>
  <c r="B10" i="9"/>
  <c r="O3" i="9"/>
  <c r="Q5" i="10"/>
  <c r="M12" i="10"/>
  <c r="C12" i="9"/>
  <c r="Q9" i="9"/>
  <c r="M10" i="9"/>
  <c r="N6" i="10"/>
  <c r="U3" i="10"/>
  <c r="D3" i="10"/>
  <c r="F11" i="10"/>
  <c r="I6" i="10"/>
  <c r="K14" i="10"/>
  <c r="B14" i="10"/>
  <c r="E6" i="9"/>
  <c r="D10" i="9"/>
  <c r="S3" i="10"/>
  <c r="I6" i="9"/>
  <c r="F7" i="10"/>
  <c r="C11" i="9"/>
  <c r="P3" i="9"/>
  <c r="C11" i="10"/>
  <c r="J7" i="9"/>
  <c r="M8" i="9"/>
  <c r="Q8" i="9"/>
  <c r="U10" i="10"/>
  <c r="G4" i="9"/>
  <c r="H3" i="10"/>
  <c r="H6" i="10"/>
  <c r="L3" i="10"/>
  <c r="C7" i="9"/>
  <c r="G6" i="9"/>
  <c r="O14" i="9"/>
  <c r="O12" i="9"/>
  <c r="P7" i="10"/>
  <c r="P11" i="10"/>
  <c r="S16" i="10"/>
  <c r="N11" i="10"/>
  <c r="N12" i="9"/>
  <c r="N10" i="10"/>
  <c r="H4" i="10"/>
  <c r="T3" i="10"/>
  <c r="M11" i="10"/>
  <c r="R6" i="10"/>
  <c r="O5" i="9"/>
  <c r="U12" i="10"/>
  <c r="M5" i="9"/>
  <c r="S5" i="10"/>
  <c r="H9" i="10"/>
  <c r="J4" i="10"/>
  <c r="L13" i="10"/>
  <c r="N7" i="10"/>
  <c r="D10" i="10"/>
  <c r="N8" i="10"/>
  <c r="Q9" i="10"/>
  <c r="I13" i="9"/>
  <c r="E11" i="10"/>
  <c r="I7" i="10"/>
  <c r="H8" i="10"/>
  <c r="E7" i="10"/>
  <c r="Q6" i="10"/>
  <c r="N4" i="9"/>
  <c r="D13" i="10"/>
  <c r="E5" i="10"/>
  <c r="J15" i="10"/>
  <c r="Q15" i="10"/>
  <c r="O6" i="10"/>
  <c r="E12" i="10"/>
  <c r="J11" i="10"/>
  <c r="O13" i="9"/>
  <c r="I7" i="9"/>
  <c r="P6" i="9"/>
  <c r="Q4" i="10"/>
  <c r="F8" i="10"/>
  <c r="R8" i="10"/>
  <c r="Q4" i="9"/>
  <c r="H11" i="10"/>
  <c r="P3" i="10"/>
  <c r="R9" i="10"/>
  <c r="L7" i="9"/>
  <c r="N16" i="10"/>
  <c r="U9" i="10"/>
  <c r="F8" i="9"/>
  <c r="S10" i="10"/>
  <c r="U4" i="10"/>
  <c r="O11" i="10"/>
  <c r="T9" i="10"/>
  <c r="M15" i="10"/>
  <c r="K16" i="10"/>
  <c r="P10" i="9"/>
  <c r="F12" i="9"/>
  <c r="L11" i="10"/>
  <c r="S13" i="10"/>
  <c r="J13" i="10"/>
  <c r="J11" i="9"/>
  <c r="M12" i="9"/>
  <c r="T11" i="10"/>
  <c r="K8" i="9"/>
  <c r="H7" i="9"/>
  <c r="I5" i="10"/>
  <c r="I9" i="9"/>
  <c r="G9" i="10"/>
  <c r="P15" i="10"/>
  <c r="F16" i="10"/>
  <c r="S11" i="10"/>
  <c r="O8" i="9"/>
  <c r="E12" i="9"/>
  <c r="H10" i="9"/>
  <c r="H3" i="9"/>
  <c r="E4" i="9"/>
  <c r="T8" i="10"/>
  <c r="G10" i="9"/>
  <c r="C13" i="10"/>
  <c r="N5" i="10"/>
  <c r="U8" i="10"/>
  <c r="I9" i="10"/>
  <c r="C6" i="10"/>
  <c r="E9" i="10"/>
  <c r="J16" i="10"/>
  <c r="H16" i="10"/>
  <c r="O16" i="10"/>
  <c r="G15" i="10"/>
  <c r="D5" i="9"/>
  <c r="G3" i="10"/>
  <c r="G10" i="10"/>
  <c r="O14" i="10"/>
  <c r="J3" i="9"/>
  <c r="I15" i="10"/>
  <c r="O10" i="10"/>
  <c r="K4" i="9"/>
  <c r="I11" i="9"/>
  <c r="N3" i="10"/>
  <c r="P13" i="9"/>
  <c r="G4" i="10"/>
  <c r="N10" i="9"/>
  <c r="R5" i="9"/>
  <c r="O8" i="10"/>
  <c r="E4" i="10"/>
  <c r="J14" i="9"/>
  <c r="E8" i="10"/>
  <c r="G13" i="9"/>
  <c r="C9" i="10"/>
  <c r="H10" i="10"/>
  <c r="Q7" i="10"/>
  <c r="Q16" i="10"/>
  <c r="P12" i="10"/>
  <c r="I12" i="9"/>
  <c r="P5" i="10"/>
  <c r="K8" i="10"/>
  <c r="G7" i="9"/>
  <c r="D14" i="9"/>
  <c r="C16" i="10"/>
  <c r="E5" i="9"/>
  <c r="D12" i="10"/>
  <c r="D9" i="9"/>
  <c r="D14" i="10"/>
  <c r="O7" i="10"/>
  <c r="L11" i="9"/>
  <c r="F6" i="10"/>
  <c r="P5" i="9"/>
  <c r="J8" i="9"/>
  <c r="C3" i="9"/>
  <c r="R15" i="10"/>
  <c r="H14" i="10"/>
  <c r="M10" i="10"/>
  <c r="M4" i="9"/>
  <c r="R12" i="10"/>
  <c r="J3" i="10"/>
  <c r="N8" i="9"/>
  <c r="L12" i="9"/>
  <c r="E11" i="9"/>
  <c r="Q10" i="10"/>
  <c r="F5" i="9"/>
  <c r="H8" i="9"/>
  <c r="D3" i="9"/>
  <c r="N14" i="9"/>
  <c r="R4" i="9"/>
  <c r="C4" i="10"/>
  <c r="C3" i="10"/>
  <c r="K12" i="10"/>
  <c r="G8" i="10"/>
  <c r="S4" i="10"/>
  <c r="P9" i="9"/>
  <c r="R14" i="10"/>
  <c r="U15" i="10"/>
  <c r="Q11" i="10"/>
  <c r="P4" i="10"/>
  <c r="M14" i="9"/>
  <c r="R3" i="9"/>
  <c r="H4" i="9"/>
  <c r="L9" i="10"/>
  <c r="O4" i="10"/>
  <c r="E10" i="9"/>
  <c r="E6" i="10"/>
  <c r="C15" i="10"/>
  <c r="K13" i="9"/>
  <c r="F9" i="10"/>
  <c r="U5" i="10"/>
  <c r="G7" i="10"/>
  <c r="L4" i="10"/>
  <c r="I3" i="10"/>
  <c r="M3" i="9"/>
  <c r="C7" i="10"/>
  <c r="I16" i="10"/>
  <c r="E3" i="9"/>
  <c r="T12" i="10"/>
  <c r="R4" i="10"/>
  <c r="S12" i="10"/>
  <c r="O15" i="10"/>
  <c r="P8" i="10"/>
  <c r="R3" i="10"/>
  <c r="E7" i="9"/>
  <c r="Q3" i="9"/>
  <c r="T5" i="10"/>
  <c r="B12" i="9"/>
  <c r="F10" i="10"/>
  <c r="E10" i="10"/>
  <c r="I5" i="9"/>
  <c r="K10" i="10"/>
  <c r="B8" i="10"/>
  <c r="O5" i="10"/>
  <c r="O9" i="10"/>
  <c r="J7" i="10"/>
  <c r="B10" i="10"/>
  <c r="T16" i="10"/>
  <c r="D12" i="9"/>
  <c r="K12" i="9"/>
  <c r="D8" i="10"/>
  <c r="B5" i="10"/>
  <c r="M9" i="10"/>
  <c r="T10" i="10"/>
  <c r="B4" i="10"/>
  <c r="L3" i="9"/>
  <c r="F13" i="9"/>
  <c r="K10" i="9"/>
  <c r="H12" i="9"/>
  <c r="S7" i="10"/>
  <c r="F14" i="10"/>
  <c r="N9" i="10"/>
  <c r="Q12" i="10"/>
  <c r="E14" i="9"/>
  <c r="F9" i="9"/>
  <c r="H9" i="9"/>
  <c r="M11" i="9"/>
  <c r="K3" i="9"/>
  <c r="N9" i="9"/>
  <c r="J12" i="10"/>
</calcChain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C3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下载文件时的命名规则
</t>
        </r>
      </text>
    </comment>
    <comment ref="G11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左边两个字是文件就变成上传文件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C3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1" type="4" refreshedVersion="2" deleted="1" background="1" saveData="1">
    <webPr parsePre="1" consecutive="1" xl2000="1" htmlTables="1" htmlFormat="all"/>
  </connection>
  <connection id="3" name="连接12" type="4" refreshedVersion="2" deleted="1" background="1" saveData="1">
    <webPr parsePre="1" consecutive="1" xl2000="1" htmlTables="1" htmlFormat="all"/>
  </connection>
  <connection id="4" name="连接125" type="4" refreshedVersion="2" deleted="1" background="1" saveData="1">
    <webPr parsePre="1" consecutive="1" xl2000="1" htmlTables="1" htmlFormat="all"/>
  </connection>
  <connection id="5" name="连接126" type="4" refreshedVersion="2" deleted="1" background="1" saveData="1">
    <webPr parsePre="1" consecutive="1" xl2000="1" htmlTables="1" htmlFormat="all"/>
  </connection>
  <connection id="6" name="连接127" type="4" refreshedVersion="2" deleted="1" background="1" saveData="1">
    <webPr parsePre="1" consecutive="1" xl2000="1" htmlTables="1" htmlFormat="all"/>
  </connection>
  <connection id="7" name="连接13" type="4" refreshedVersion="2" deleted="1" background="1" saveData="1">
    <webPr parsePre="1" consecutive="1" xl2000="1" htmlTables="1" htmlFormat="all"/>
  </connection>
  <connection id="8" name="连接131" type="4" refreshedVersion="2" deleted="1" background="1" saveData="1">
    <webPr parsePre="1" consecutive="1" xl2000="1" htmlTables="1" htmlFormat="all"/>
  </connection>
  <connection id="9" name="连接137" type="4" refreshedVersion="2" deleted="1" background="1" saveData="1">
    <webPr parsePre="1" consecutive="1" xl2000="1" htmlTables="1" htmlFormat="all"/>
  </connection>
  <connection id="10" name="连接14" type="4" refreshedVersion="2" deleted="1" background="1" saveData="1">
    <webPr parsePre="1" consecutive="1" xl2000="1" htmlTables="1" htmlFormat="all"/>
  </connection>
  <connection id="11" name="连接167" type="4" refreshedVersion="2" deleted="1" background="1" saveData="1">
    <webPr parsePre="1" consecutive="1" xl2000="1" htmlTables="1" htmlFormat="all"/>
  </connection>
  <connection id="12" name="连接183" type="4" refreshedVersion="2" deleted="1" background="1" saveData="1">
    <webPr parsePre="1" consecutive="1" xl2000="1" htmlTables="1" htmlFormat="all"/>
  </connection>
  <connection id="13" name="连接21" type="4" refreshedVersion="2" deleted="1" background="1" saveData="1">
    <webPr parsePre="1" consecutive="1" xl2000="1" htmlTables="1" htmlFormat="all"/>
  </connection>
  <connection id="14" name="连接23" type="4" refreshedVersion="2" deleted="1" background="1" saveData="1">
    <webPr parsePre="1" consecutive="1" xl2000="1" htmlTables="1" htmlFormat="all"/>
  </connection>
  <connection id="15" name="连接27" type="4" refreshedVersion="2" deleted="1" background="1" saveData="1">
    <webPr parsePre="1" consecutive="1" xl2000="1" htmlTables="1" htmlFormat="all"/>
  </connection>
  <connection id="16" name="连接28" type="4" refreshedVersion="2" deleted="1" background="1" saveData="1">
    <webPr parsePre="1" consecutive="1" xl2000="1" htmlTables="1" htmlFormat="all"/>
  </connection>
  <connection id="17" name="连接29" type="4" refreshedVersion="2" deleted="1" background="1" saveData="1">
    <webPr parsePre="1" consecutive="1" xl2000="1" htmlTables="1" htmlFormat="all"/>
  </connection>
  <connection id="18" name="连接30" type="4" refreshedVersion="2" deleted="1" background="1" saveData="1">
    <webPr parsePre="1" consecutive="1" xl2000="1" htmlTables="1" htmlFormat="all"/>
  </connection>
  <connection id="19" name="连接31" type="4" refreshedVersion="2" deleted="1" background="1" saveData="1">
    <webPr parsePre="1" consecutive="1" xl2000="1" htmlTables="1" htmlFormat="all"/>
  </connection>
  <connection id="20" name="连接34" type="4" refreshedVersion="2" deleted="1" background="1" saveData="1">
    <webPr parsePre="1" consecutive="1" xl2000="1" htmlTables="1" htmlFormat="all"/>
  </connection>
  <connection id="21" name="连接35" type="4" refreshedVersion="2" deleted="1" background="1" saveData="1">
    <webPr parsePre="1" consecutive="1" xl2000="1" htmlTables="1" htmlFormat="all"/>
  </connection>
  <connection id="22" name="连接40" type="4" refreshedVersion="2" deleted="1" background="1" saveData="1">
    <webPr parsePre="1" consecutive="1" xl2000="1" htmlTables="1" htmlFormat="all"/>
  </connection>
  <connection id="23" name="连接43" type="4" refreshedVersion="2" deleted="1" background="1" saveData="1">
    <webPr parsePre="1" consecutive="1" xl2000="1" htmlTables="1" htmlFormat="all"/>
  </connection>
  <connection id="24" name="连接57" type="4" refreshedVersion="2" deleted="1" background="1" saveData="1">
    <webPr parsePre="1" consecutive="1" xl2000="1" htmlTables="1" htmlFormat="all"/>
  </connection>
</connections>
</file>

<file path=xl/sharedStrings.xml><?xml version="1.0" encoding="utf-8"?>
<sst xmlns="http://schemas.openxmlformats.org/spreadsheetml/2006/main" count="406" uniqueCount="243">
  <si>
    <t>数据表名</t>
  </si>
  <si>
    <t>等于</t>
  </si>
  <si>
    <t>查看密码</t>
  </si>
  <si>
    <t>查看数据</t>
  </si>
  <si>
    <t>提示字段</t>
  </si>
  <si>
    <t>上传密码</t>
  </si>
  <si>
    <t>手机填写网址</t>
  </si>
  <si>
    <t>覆盖上传</t>
  </si>
  <si>
    <t>是</t>
  </si>
  <si>
    <t>复制到</t>
  </si>
  <si>
    <t>A11</t>
  </si>
  <si>
    <t>查询网址</t>
  </si>
  <si>
    <t>数据表</t>
  </si>
  <si>
    <t>sheet1</t>
  </si>
  <si>
    <t>姓名字段</t>
  </si>
  <si>
    <t>d2</t>
  </si>
  <si>
    <t>分类字段</t>
  </si>
  <si>
    <t>d5</t>
  </si>
  <si>
    <t>弹窗提示更新</t>
  </si>
  <si>
    <t>否</t>
  </si>
  <si>
    <t>ID字段</t>
  </si>
  <si>
    <t>d3</t>
  </si>
  <si>
    <t>排序字段</t>
  </si>
  <si>
    <t>免密码查询</t>
  </si>
  <si>
    <t>缩略显示</t>
  </si>
  <si>
    <t>d5,d2,d4</t>
  </si>
  <si>
    <t>文件名命名规则</t>
  </si>
  <si>
    <t>不显字段</t>
  </si>
  <si>
    <t>id,wrpw,data1,data2,ord,rpw,name,pid,custom1,custom2,sheetname</t>
  </si>
  <si>
    <t>d1</t>
  </si>
  <si>
    <t>d4</t>
  </si>
  <si>
    <t>d6</t>
  </si>
  <si>
    <t>d7</t>
  </si>
  <si>
    <t>d8</t>
  </si>
  <si>
    <t>必须要先设定</t>
  </si>
  <si>
    <t>姓名</t>
  </si>
  <si>
    <t>所在的列才能查</t>
  </si>
  <si>
    <t>方艺某</t>
  </si>
  <si>
    <t>王进1</t>
  </si>
  <si>
    <t>林世峰</t>
  </si>
  <si>
    <t>王进9</t>
  </si>
  <si>
    <t>工号</t>
  </si>
  <si>
    <t>参</t>
  </si>
  <si>
    <t>数</t>
  </si>
  <si>
    <t>维护人</t>
  </si>
  <si>
    <t>学号/工号</t>
  </si>
  <si>
    <t>显示字段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</si>
  <si>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</si>
  <si>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</si>
  <si>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6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</si>
  <si>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8</t>
    </r>
  </si>
  <si>
    <t>d9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</si>
  <si>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10</t>
    </r>
  </si>
  <si>
    <t>d11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</si>
  <si>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12</t>
    </r>
  </si>
  <si>
    <t>d13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</si>
  <si>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14</t>
    </r>
  </si>
  <si>
    <t>d15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</si>
  <si>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16</t>
    </r>
  </si>
  <si>
    <t>d17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</si>
  <si>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18</t>
    </r>
  </si>
  <si>
    <t>d19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</si>
  <si>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20</t>
    </r>
  </si>
  <si>
    <t>d21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</si>
  <si>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22</t>
    </r>
  </si>
  <si>
    <t>d23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</si>
  <si>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24</t>
    </r>
  </si>
  <si>
    <t>d25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</si>
  <si>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26</t>
    </r>
  </si>
  <si>
    <t>d27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</si>
  <si>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28</t>
    </r>
  </si>
  <si>
    <t>d29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</si>
  <si>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30</t>
    </r>
  </si>
  <si>
    <t>d31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</si>
  <si>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32</t>
    </r>
  </si>
  <si>
    <t>d33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</si>
  <si>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34</t>
    </r>
  </si>
  <si>
    <t>d35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</si>
  <si>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36</t>
    </r>
  </si>
  <si>
    <t>d37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</si>
  <si>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38</t>
    </r>
  </si>
  <si>
    <t>d39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</si>
  <si>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40</t>
    </r>
  </si>
  <si>
    <t>d41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</si>
  <si>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42</t>
    </r>
  </si>
  <si>
    <t>d43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</si>
  <si>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44</t>
    </r>
  </si>
  <si>
    <t>d45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</si>
  <si>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46</t>
    </r>
  </si>
  <si>
    <t>d47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</si>
  <si>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48</t>
    </r>
  </si>
  <si>
    <t>d49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</si>
  <si>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50</t>
    </r>
  </si>
  <si>
    <t>包含</t>
  </si>
  <si>
    <r>
      <rPr>
        <sz val="11"/>
        <color theme="1"/>
        <rFont val="宋体"/>
        <family val="3"/>
        <charset val="134"/>
      </rPr>
      <t>I</t>
    </r>
    <r>
      <rPr>
        <sz val="11"/>
        <color theme="1"/>
        <rFont val="宋体"/>
        <family val="3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</si>
  <si>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</si>
  <si>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</si>
  <si>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</si>
  <si>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</si>
  <si>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</si>
  <si>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A</t>
  </si>
  <si>
    <t>B</t>
  </si>
  <si>
    <t>C</t>
  </si>
  <si>
    <t>D</t>
  </si>
  <si>
    <t>E</t>
  </si>
  <si>
    <t>F</t>
  </si>
  <si>
    <t>G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</si>
  <si>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</si>
  <si>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</si>
  <si>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</si>
  <si>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</si>
  <si>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</si>
  <si>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</si>
  <si>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</si>
  <si>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</si>
  <si>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</si>
  <si>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</si>
  <si>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</si>
  <si>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</si>
  <si>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</si>
  <si>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</si>
  <si>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</si>
  <si>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</si>
  <si>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</si>
  <si>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</si>
  <si>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</si>
  <si>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</si>
  <si>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</si>
  <si>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</si>
  <si>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</si>
  <si>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</si>
  <si>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</si>
  <si>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</si>
  <si>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</si>
  <si>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</si>
  <si>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</si>
  <si>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</si>
  <si>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</si>
  <si>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</si>
  <si>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</si>
  <si>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</si>
  <si>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</si>
  <si>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</si>
  <si>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</si>
  <si>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</si>
  <si>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</si>
  <si>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</si>
  <si>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</si>
  <si>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</si>
  <si>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</si>
  <si>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</si>
  <si>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</si>
  <si>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</si>
  <si>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</si>
  <si>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</si>
  <si>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</si>
  <si>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</si>
  <si>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</si>
  <si>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</si>
  <si>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</si>
  <si>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</si>
  <si>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</si>
  <si>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</si>
  <si>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</si>
  <si>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</si>
  <si>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</si>
  <si>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</si>
  <si>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</si>
  <si>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</si>
  <si>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</si>
  <si>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</si>
  <si>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自动下载文件</t>
    <phoneticPr fontId="21" type="noConversion"/>
  </si>
  <si>
    <t>是</t>
    <phoneticPr fontId="21" type="noConversion"/>
  </si>
  <si>
    <t>A</t>
    <phoneticPr fontId="21" type="noConversion"/>
  </si>
  <si>
    <t>在线修改</t>
    <phoneticPr fontId="21" type="noConversion"/>
  </si>
  <si>
    <t>经费使用测试</t>
    <phoneticPr fontId="21" type="noConversion"/>
  </si>
  <si>
    <t>预算代码</t>
  </si>
  <si>
    <t>支出数</t>
  </si>
  <si>
    <t>使用情况</t>
  </si>
  <si>
    <t>支出时间</t>
  </si>
  <si>
    <t>[12年]315-5003科研项目费用</t>
  </si>
  <si>
    <t>收入</t>
  </si>
  <si>
    <t>[13年]328-5101设备费</t>
  </si>
  <si>
    <t>[13年]328-5109劳务费</t>
  </si>
  <si>
    <t>[13年]328-5008学术讲座费</t>
  </si>
  <si>
    <t>[14年]335-5110专家咨询费</t>
  </si>
  <si>
    <t>[14年]335-5003科研项目费用</t>
  </si>
  <si>
    <t>[14年]335-5008学术讲座费</t>
  </si>
  <si>
    <t>支出</t>
  </si>
  <si>
    <t>[12年]315-5101设备费</t>
  </si>
  <si>
    <t>原因2</t>
  </si>
  <si>
    <t>原因3</t>
  </si>
  <si>
    <t>原因4</t>
  </si>
  <si>
    <t>原因5</t>
  </si>
  <si>
    <t>原因6</t>
  </si>
  <si>
    <t>原因7</t>
  </si>
  <si>
    <t>原因8</t>
  </si>
  <si>
    <t>原因9</t>
  </si>
  <si>
    <t>原因10</t>
  </si>
  <si>
    <t>原因11</t>
  </si>
  <si>
    <t>原因12</t>
  </si>
  <si>
    <t>原因13</t>
  </si>
  <si>
    <t>原因14</t>
  </si>
  <si>
    <t>原因15</t>
  </si>
  <si>
    <t>原因16</t>
  </si>
  <si>
    <t>原因17</t>
  </si>
  <si>
    <t>原因18</t>
  </si>
  <si>
    <t>原因19</t>
  </si>
  <si>
    <t>原因20</t>
  </si>
  <si>
    <t>原因21</t>
  </si>
  <si>
    <t>原因22</t>
  </si>
  <si>
    <t>原因23</t>
  </si>
  <si>
    <t>原因24</t>
  </si>
  <si>
    <t>原因25</t>
  </si>
  <si>
    <t>原因26</t>
  </si>
  <si>
    <t>原因27</t>
  </si>
  <si>
    <t>原因28</t>
  </si>
  <si>
    <t>原因29</t>
  </si>
  <si>
    <t>原因30</t>
  </si>
  <si>
    <t>原因31</t>
  </si>
  <si>
    <t>原因32</t>
  </si>
  <si>
    <t>原因33</t>
  </si>
  <si>
    <t>原因34</t>
  </si>
  <si>
    <t>原因35</t>
  </si>
  <si>
    <t>原因36</t>
  </si>
  <si>
    <t>原因37</t>
  </si>
  <si>
    <t>原因38</t>
  </si>
  <si>
    <t>原因39</t>
  </si>
  <si>
    <t>原因40</t>
  </si>
  <si>
    <t>原因41</t>
  </si>
  <si>
    <t>经费使用测试汇总</t>
    <phoneticPr fontId="21" type="noConversion"/>
  </si>
  <si>
    <r>
      <t>d1,d2</t>
    </r>
    <r>
      <rPr>
        <sz val="11"/>
        <color theme="1"/>
        <rFont val="宋体"/>
        <family val="3"/>
        <charset val="134"/>
        <scheme val="minor"/>
      </rPr>
      <t>,d4,d5</t>
    </r>
    <phoneticPr fontId="21" type="noConversion"/>
  </si>
  <si>
    <t>T8O6J3V1BB</t>
    <phoneticPr fontId="21" type="noConversion"/>
  </si>
  <si>
    <t>251H8837772190</t>
    <phoneticPr fontId="21" type="noConversion"/>
  </si>
  <si>
    <t>金额</t>
  </si>
  <si>
    <t>原因1</t>
  </si>
  <si>
    <t>项目类型</t>
    <phoneticPr fontId="21" type="noConversion"/>
  </si>
  <si>
    <t>余额</t>
    <phoneticPr fontId="21" type="noConversion"/>
  </si>
  <si>
    <t>列</t>
    <phoneticPr fontId="21" type="noConversion"/>
  </si>
  <si>
    <t>请先在sheet1中指定</t>
    <phoneticPr fontId="21" type="noConversion"/>
  </si>
  <si>
    <t>姓名</t>
    <phoneticPr fontId="21" type="noConversion"/>
  </si>
  <si>
    <t>http://aa.r34.cc</t>
    <phoneticPr fontId="21" type="noConversion"/>
  </si>
  <si>
    <t>否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</si>
</sst>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29">
    <font>
      <sz val="11"/>
      <color theme="1"/>
      <name val="宋体"/>
      <charset val="134"/>
      <scheme val="minor"/>
    </font>
    <font>
      <b/>
      <sz val="11"/>
      <color theme="3" tint="0.39988402966399123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0"/>
      <name val="Helv"/>
      <family val="2"/>
    </font>
    <font>
      <sz val="11"/>
      <name val="宋体"/>
      <family val="3"/>
      <charset val="134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0"/>
      <name val="宋体"/>
      <family val="3"/>
      <charset val="134"/>
    </font>
    <font>
      <sz val="11"/>
      <color rgb="FF333333"/>
      <name val="Arial"/>
      <family val="2"/>
    </font>
    <font>
      <sz val="11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  <font>
      <sz val="26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26"/>
      <color theme="1"/>
      <name val="宋体"/>
      <family val="3"/>
      <charset val="134"/>
      <scheme val="minor"/>
    </font>
    <font>
      <sz val="11"/>
      <color rgb="FF333333"/>
      <name val="宋体"/>
      <family val="3"/>
      <charset val="134"/>
    </font>
    <font>
      <sz val="14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399884029663991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8" fillId="0" borderId="0"/>
    <xf numFmtId="0" fontId="17" fillId="0" borderId="0"/>
    <xf numFmtId="0" fontId="16" fillId="0" borderId="0">
      <alignment vertical="center"/>
    </xf>
  </cellStyleXfs>
  <cellXfs count="101">
    <xf numFmtId="0" fontId="0" fillId="0" borderId="0" xfId="0">
      <alignment vertical="center"/>
    </xf>
    <xf numFmtId="0" fontId="16" fillId="0" borderId="1" xfId="4" applyBorder="1" applyAlignment="1">
      <alignment vertical="center" shrinkToFit="1"/>
    </xf>
    <xf numFmtId="0" fontId="16" fillId="0" borderId="0" xfId="4" applyBorder="1" applyAlignment="1">
      <alignment vertical="center" shrinkToFit="1"/>
    </xf>
    <xf numFmtId="0" fontId="16" fillId="0" borderId="0" xfId="4" applyAlignment="1">
      <alignment horizontal="left" vertical="center" shrinkToFit="1"/>
    </xf>
    <xf numFmtId="0" fontId="16" fillId="0" borderId="0" xfId="4" applyAlignment="1">
      <alignment vertical="center" shrinkToFit="1"/>
    </xf>
    <xf numFmtId="0" fontId="16" fillId="0" borderId="0" xfId="4" applyFill="1" applyAlignment="1">
      <alignment vertical="center" shrinkToFit="1"/>
    </xf>
    <xf numFmtId="0" fontId="16" fillId="2" borderId="0" xfId="4" applyFill="1" applyAlignment="1">
      <alignment vertical="center" shrinkToFit="1"/>
    </xf>
    <xf numFmtId="0" fontId="16" fillId="0" borderId="0" xfId="4" applyBorder="1" applyAlignment="1">
      <alignment horizontal="left" vertical="center" shrinkToFit="1"/>
    </xf>
    <xf numFmtId="0" fontId="16" fillId="0" borderId="0" xfId="4" applyBorder="1" applyAlignment="1">
      <alignment horizontal="center" vertical="center" shrinkToFit="1"/>
    </xf>
    <xf numFmtId="0" fontId="1" fillId="0" borderId="0" xfId="4" applyFont="1" applyBorder="1" applyAlignment="1">
      <alignment horizontal="center" vertical="center" shrinkToFit="1"/>
    </xf>
    <xf numFmtId="0" fontId="1" fillId="0" borderId="0" xfId="4" applyFont="1" applyBorder="1" applyAlignment="1">
      <alignment vertical="center" shrinkToFit="1"/>
    </xf>
    <xf numFmtId="0" fontId="16" fillId="2" borderId="0" xfId="4" applyFill="1" applyBorder="1" applyAlignment="1">
      <alignment vertical="center" shrinkToFit="1"/>
    </xf>
    <xf numFmtId="0" fontId="0" fillId="0" borderId="0" xfId="4" applyFont="1" applyBorder="1" applyAlignment="1">
      <alignment horizontal="center" vertical="center" shrinkToFit="1"/>
    </xf>
    <xf numFmtId="0" fontId="0" fillId="0" borderId="0" xfId="4" applyFont="1" applyFill="1" applyBorder="1" applyAlignment="1">
      <alignment horizontal="center" vertical="center" shrinkToFit="1"/>
    </xf>
    <xf numFmtId="0" fontId="0" fillId="3" borderId="0" xfId="4" applyFont="1" applyFill="1" applyBorder="1" applyAlignment="1">
      <alignment horizontal="center" vertical="center" shrinkToFit="1"/>
    </xf>
    <xf numFmtId="0" fontId="0" fillId="2" borderId="0" xfId="4" applyFont="1" applyFill="1" applyBorder="1" applyAlignment="1">
      <alignment vertical="center" shrinkToFit="1"/>
    </xf>
    <xf numFmtId="0" fontId="0" fillId="0" borderId="0" xfId="4" applyFont="1" applyBorder="1" applyAlignment="1">
      <alignment horizontal="left" vertical="center" shrinkToFit="1"/>
    </xf>
    <xf numFmtId="0" fontId="2" fillId="0" borderId="0" xfId="1" applyBorder="1" applyAlignment="1">
      <alignment vertical="center" shrinkToFit="1"/>
    </xf>
    <xf numFmtId="0" fontId="3" fillId="0" borderId="1" xfId="4" applyFont="1" applyBorder="1" applyAlignment="1">
      <alignment horizontal="left" vertical="center" shrinkToFit="1"/>
    </xf>
    <xf numFmtId="0" fontId="0" fillId="0" borderId="1" xfId="4" applyFont="1" applyBorder="1" applyAlignment="1">
      <alignment horizontal="center" vertical="center" shrinkToFit="1"/>
    </xf>
    <xf numFmtId="0" fontId="2" fillId="0" borderId="1" xfId="1" applyBorder="1" applyAlignment="1">
      <alignment vertical="center" shrinkToFit="1"/>
    </xf>
    <xf numFmtId="0" fontId="16" fillId="0" borderId="1" xfId="4" applyBorder="1" applyAlignment="1">
      <alignment horizontal="center" vertical="center" shrinkToFit="1"/>
    </xf>
    <xf numFmtId="0" fontId="0" fillId="2" borderId="1" xfId="4" applyFont="1" applyFill="1" applyBorder="1" applyAlignment="1">
      <alignment vertical="center" shrinkToFit="1"/>
    </xf>
    <xf numFmtId="0" fontId="4" fillId="0" borderId="0" xfId="4" applyFont="1" applyBorder="1" applyAlignment="1">
      <alignment horizontal="left" vertical="center" shrinkToFit="1"/>
    </xf>
    <xf numFmtId="0" fontId="0" fillId="0" borderId="0" xfId="4" applyFont="1" applyFill="1" applyBorder="1" applyAlignment="1">
      <alignment vertical="center" shrinkToFit="1"/>
    </xf>
    <xf numFmtId="0" fontId="4" fillId="0" borderId="0" xfId="4" applyFont="1" applyBorder="1" applyAlignment="1">
      <alignment vertical="center" shrinkToFit="1"/>
    </xf>
    <xf numFmtId="0" fontId="4" fillId="0" borderId="0" xfId="4" applyFont="1" applyFill="1" applyBorder="1" applyAlignment="1">
      <alignment vertical="center" shrinkToFit="1"/>
    </xf>
    <xf numFmtId="0" fontId="4" fillId="0" borderId="0" xfId="4" applyFont="1" applyAlignment="1">
      <alignment horizontal="left" vertical="center" shrinkToFit="1"/>
    </xf>
    <xf numFmtId="0" fontId="4" fillId="0" borderId="0" xfId="4" applyFont="1" applyAlignment="1">
      <alignment vertical="center" shrinkToFit="1"/>
    </xf>
    <xf numFmtId="0" fontId="0" fillId="0" borderId="0" xfId="4" applyFont="1" applyFill="1" applyAlignment="1">
      <alignment vertical="center" shrinkToFit="1"/>
    </xf>
    <xf numFmtId="0" fontId="4" fillId="0" borderId="0" xfId="4" applyFont="1" applyFill="1" applyAlignment="1">
      <alignment vertical="center" shrinkToFit="1"/>
    </xf>
    <xf numFmtId="0" fontId="0" fillId="2" borderId="0" xfId="4" applyFont="1" applyFill="1" applyAlignment="1">
      <alignment vertical="center" shrinkToFit="1"/>
    </xf>
    <xf numFmtId="0" fontId="0" fillId="0" borderId="0" xfId="4" applyFont="1" applyBorder="1" applyAlignment="1">
      <alignment vertical="center" shrinkToFit="1"/>
    </xf>
    <xf numFmtId="0" fontId="16" fillId="0" borderId="0" xfId="4" applyFill="1" applyBorder="1" applyAlignment="1">
      <alignment horizontal="center" vertical="center" shrinkToFit="1"/>
    </xf>
    <xf numFmtId="0" fontId="0" fillId="0" borderId="0" xfId="4" applyFont="1" applyAlignment="1">
      <alignment vertical="center" shrinkToFit="1"/>
    </xf>
    <xf numFmtId="0" fontId="5" fillId="0" borderId="0" xfId="4" applyNumberFormat="1" applyFont="1" applyAlignment="1">
      <alignment horizontal="left" vertical="center"/>
    </xf>
    <xf numFmtId="0" fontId="16" fillId="0" borderId="2" xfId="4" applyNumberFormat="1" applyBorder="1" applyAlignment="1">
      <alignment vertical="center" shrinkToFit="1"/>
    </xf>
    <xf numFmtId="0" fontId="6" fillId="0" borderId="0" xfId="4" applyNumberFormat="1" applyFont="1" applyAlignment="1">
      <alignment horizontal="center" shrinkToFit="1"/>
    </xf>
    <xf numFmtId="0" fontId="0" fillId="0" borderId="0" xfId="4" applyNumberFormat="1" applyFont="1" applyAlignment="1">
      <alignment shrinkToFit="1"/>
    </xf>
    <xf numFmtId="0" fontId="7" fillId="0" borderId="0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Alignment="1">
      <alignment horizontal="center" shrinkToFit="1"/>
    </xf>
    <xf numFmtId="0" fontId="16" fillId="0" borderId="0" xfId="4" applyNumberFormat="1" applyAlignment="1">
      <alignment vertical="center" shrinkToFit="1"/>
    </xf>
    <xf numFmtId="0" fontId="8" fillId="0" borderId="0" xfId="4" applyNumberFormat="1" applyFont="1" applyAlignment="1">
      <alignment horizontal="left" vertical="center"/>
    </xf>
    <xf numFmtId="0" fontId="9" fillId="0" borderId="2" xfId="4" applyNumberFormat="1" applyFont="1" applyBorder="1" applyAlignment="1">
      <alignment horizontal="center" vertical="center" shrinkToFit="1"/>
    </xf>
    <xf numFmtId="49" fontId="9" fillId="0" borderId="2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Border="1" applyAlignment="1">
      <alignment horizontal="center" vertical="center" shrinkToFit="1"/>
    </xf>
    <xf numFmtId="0" fontId="6" fillId="0" borderId="0" xfId="4" applyFont="1" applyAlignment="1">
      <alignment horizontal="center" shrinkToFit="1"/>
    </xf>
    <xf numFmtId="0" fontId="0" fillId="0" borderId="0" xfId="4" applyFont="1" applyAlignment="1">
      <alignment shrinkToFit="1"/>
    </xf>
    <xf numFmtId="0" fontId="7" fillId="0" borderId="0" xfId="4" applyFont="1" applyFill="1" applyBorder="1" applyAlignment="1">
      <alignment horizontal="center" vertical="center" shrinkToFit="1"/>
    </xf>
    <xf numFmtId="0" fontId="0" fillId="0" borderId="0" xfId="4" applyFont="1" applyAlignment="1">
      <alignment horizontal="center" shrinkToFit="1"/>
    </xf>
    <xf numFmtId="49" fontId="6" fillId="0" borderId="0" xfId="4" applyNumberFormat="1" applyFont="1" applyAlignment="1">
      <alignment horizontal="center" shrinkToFit="1"/>
    </xf>
    <xf numFmtId="49" fontId="10" fillId="0" borderId="0" xfId="4" applyNumberFormat="1" applyFont="1" applyAlignment="1">
      <alignment horizont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1" fillId="4" borderId="0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Border="1" applyAlignment="1">
      <alignment horizontal="center" vertical="center" shrinkToFit="1"/>
    </xf>
    <xf numFmtId="0" fontId="0" fillId="5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12" fillId="6" borderId="0" xfId="0" applyNumberFormat="1" applyFont="1" applyFill="1" applyBorder="1" applyAlignment="1">
      <alignment horizontal="center" vertical="center" shrinkToFit="1"/>
    </xf>
    <xf numFmtId="0" fontId="0" fillId="6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4" fillId="0" borderId="0" xfId="0" applyNumberFormat="1" applyFont="1" applyFill="1" applyAlignment="1">
      <alignment horizontal="center" vertical="center" shrinkToFit="1"/>
    </xf>
    <xf numFmtId="0" fontId="4" fillId="0" borderId="0" xfId="0" applyNumberFormat="1" applyFont="1" applyAlignment="1">
      <alignment horizontal="center" vertical="center" shrinkToFit="1"/>
    </xf>
    <xf numFmtId="0" fontId="2" fillId="0" borderId="0" xfId="1" applyNumberFormat="1" applyBorder="1" applyAlignment="1">
      <alignment horizontal="center" vertical="center" shrinkToFit="1"/>
    </xf>
    <xf numFmtId="0" fontId="13" fillId="0" borderId="0" xfId="1" applyNumberFormat="1" applyFont="1" applyBorder="1" applyAlignment="1">
      <alignment horizontal="center" vertical="center" shrinkToFit="1"/>
    </xf>
    <xf numFmtId="0" fontId="2" fillId="0" borderId="0" xfId="1" applyNumberFormat="1">
      <alignment vertical="center"/>
    </xf>
    <xf numFmtId="0" fontId="14" fillId="0" borderId="0" xfId="1" applyNumberFormat="1" applyFont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0" fontId="0" fillId="5" borderId="0" xfId="0" applyNumberFormat="1" applyFont="1" applyFill="1" applyAlignment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wrapText="1"/>
    </xf>
    <xf numFmtId="0" fontId="15" fillId="0" borderId="0" xfId="0" applyNumberFormat="1" applyFont="1" applyFill="1" applyAlignment="1">
      <alignment horizontal="center" vertical="center" shrinkToFit="1"/>
    </xf>
    <xf numFmtId="0" fontId="0" fillId="0" borderId="0" xfId="0" quotePrefix="1" applyNumberFormat="1" applyFont="1" applyBorder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wrapText="1"/>
    </xf>
    <xf numFmtId="0" fontId="11" fillId="0" borderId="0" xfId="0" applyNumberFormat="1" applyFont="1" applyAlignment="1" applyProtection="1">
      <alignment horizontal="center" vertical="center" wrapText="1" shrinkToFit="1"/>
    </xf>
    <xf numFmtId="0" fontId="24" fillId="0" borderId="0" xfId="0" applyNumberFormat="1" applyFont="1" applyFill="1" applyBorder="1" applyAlignment="1">
      <alignment horizontal="center" vertical="center" shrinkToFit="1"/>
    </xf>
    <xf numFmtId="0" fontId="25" fillId="0" borderId="0" xfId="0" applyNumberFormat="1" applyFont="1" applyFill="1" applyAlignment="1">
      <alignment horizontal="center" vertical="center" shrinkToFit="1"/>
    </xf>
    <xf numFmtId="0" fontId="16" fillId="0" borderId="0" xfId="0" applyNumberFormat="1" applyFont="1" applyAlignment="1">
      <alignment horizontal="center" vertical="center" shrinkToFit="1"/>
    </xf>
    <xf numFmtId="0" fontId="16" fillId="3" borderId="0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NumberFormat="1" applyFont="1" applyFill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shrinkToFit="1"/>
    </xf>
    <xf numFmtId="0" fontId="16" fillId="5" borderId="0" xfId="0" applyNumberFormat="1" applyFont="1" applyFill="1" applyBorder="1" applyAlignment="1">
      <alignment horizontal="center" vertical="center" shrinkToFit="1"/>
    </xf>
    <xf numFmtId="0" fontId="2" fillId="0" borderId="0" xfId="1" applyNumberFormat="1" applyAlignment="1">
      <alignment horizontal="center" vertical="center" shrinkToFit="1"/>
    </xf>
    <xf numFmtId="176" fontId="11" fillId="0" borderId="3" xfId="0" applyNumberFormat="1" applyFont="1" applyBorder="1" applyAlignment="1">
      <alignment horizontal="center" vertical="center" shrinkToFit="1"/>
    </xf>
    <xf numFmtId="176" fontId="11" fillId="4" borderId="3" xfId="0" applyNumberFormat="1" applyFont="1" applyFill="1" applyBorder="1" applyAlignment="1">
      <alignment horizontal="center" vertical="center" shrinkToFit="1"/>
    </xf>
    <xf numFmtId="49" fontId="11" fillId="0" borderId="3" xfId="0" applyNumberFormat="1" applyFont="1" applyFill="1" applyBorder="1" applyAlignment="1">
      <alignment horizontal="center" vertical="center" shrinkToFit="1"/>
    </xf>
    <xf numFmtId="49" fontId="11" fillId="0" borderId="3" xfId="0" applyNumberFormat="1" applyFont="1" applyBorder="1" applyAlignment="1">
      <alignment horizontal="center" vertical="center" shrinkToFit="1"/>
    </xf>
    <xf numFmtId="0" fontId="9" fillId="0" borderId="2" xfId="4" applyNumberFormat="1" applyFont="1" applyFill="1" applyBorder="1" applyAlignment="1">
      <alignment horizontal="center" vertical="center" shrinkToFit="1"/>
    </xf>
    <xf numFmtId="0" fontId="26" fillId="0" borderId="0" xfId="0" applyNumberFormat="1" applyFont="1" applyBorder="1" applyAlignment="1" applyProtection="1">
      <alignment horizontal="center" vertical="center" shrinkToFit="1"/>
    </xf>
    <xf numFmtId="0" fontId="26" fillId="7" borderId="0" xfId="0" applyNumberFormat="1" applyFont="1" applyFill="1" applyBorder="1" applyAlignment="1">
      <alignment horizontal="center" vertical="center" wrapText="1" shrinkToFit="1"/>
    </xf>
    <xf numFmtId="0" fontId="11" fillId="7" borderId="0" xfId="0" applyNumberFormat="1" applyFont="1" applyFill="1" applyBorder="1" applyAlignment="1">
      <alignment horizontal="center" vertical="center" wrapText="1" shrinkToFit="1"/>
    </xf>
    <xf numFmtId="0" fontId="0" fillId="7" borderId="0" xfId="0" applyNumberFormat="1" applyFill="1" applyBorder="1" applyAlignment="1">
      <alignment horizontal="center" vertical="center" shrinkToFit="1"/>
    </xf>
    <xf numFmtId="0" fontId="27" fillId="0" borderId="0" xfId="4" applyNumberFormat="1" applyFont="1" applyAlignment="1">
      <alignment horizontal="left" vertical="center"/>
    </xf>
    <xf numFmtId="0" fontId="28" fillId="3" borderId="0" xfId="4" applyNumberFormat="1" applyFont="1" applyFill="1" applyAlignment="1">
      <alignment horizontal="center" vertical="center"/>
    </xf>
    <xf numFmtId="176" fontId="11" fillId="0" borderId="3" xfId="0" applyNumberFormat="1" applyFont="1" applyFill="1" applyBorder="1" applyAlignment="1">
      <alignment horizontal="center" vertical="center" shrinkToFit="1"/>
    </xf>
  </cellXfs>
  <cellStyles count="5">
    <cellStyle name="gcd" xfId="2"/>
    <cellStyle name="常规" xfId="0" builtinId="0"/>
    <cellStyle name="常规 2" xfId="3"/>
    <cellStyle name="常规 3" xfId="4"/>
    <cellStyle name="超链接" xfId="1" builtinId="8"/>
  </cellStyles>
  <dxfs count="1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0</xdr:rowOff>
        </xdr:from>
        <xdr:to>
          <xdr:col>7</xdr:col>
          <xdr:colOff>1013460</xdr:colOff>
          <xdr:row>1</xdr:row>
          <xdr:rowOff>182880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0</xdr:row>
          <xdr:rowOff>0</xdr:rowOff>
        </xdr:from>
        <xdr:to>
          <xdr:col>6</xdr:col>
          <xdr:colOff>1318260</xdr:colOff>
          <xdr:row>1</xdr:row>
          <xdr:rowOff>182880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0</xdr:row>
          <xdr:rowOff>0</xdr:rowOff>
        </xdr:from>
        <xdr:to>
          <xdr:col>12</xdr:col>
          <xdr:colOff>251460</xdr:colOff>
          <xdr:row>1</xdr:row>
          <xdr:rowOff>175260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Sheet2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0</xdr:row>
          <xdr:rowOff>0</xdr:rowOff>
        </xdr:from>
        <xdr:to>
          <xdr:col>6</xdr:col>
          <xdr:colOff>998220</xdr:colOff>
          <xdr:row>2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0</xdr:row>
          <xdr:rowOff>60960</xdr:rowOff>
        </xdr:from>
        <xdr:to>
          <xdr:col>9</xdr:col>
          <xdr:colOff>0</xdr:colOff>
          <xdr:row>0</xdr:row>
          <xdr:rowOff>350520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基于数据库的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Vlookup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</xdr:row>
          <xdr:rowOff>137160</xdr:rowOff>
        </xdr:from>
        <xdr:to>
          <xdr:col>3</xdr:col>
          <xdr:colOff>7620</xdr:colOff>
          <xdr:row>5</xdr:row>
          <xdr:rowOff>30480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959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958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880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881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877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882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878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883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879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75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876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955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900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954" adjustColumnWidt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874" adjustColumnWidt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956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873" adjustColumnWidth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953" adjustColumnWidth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892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957" adjustColumnWidth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900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892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879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873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877" adjustColumnWidt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875" adjustColumnWidth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882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955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954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953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876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956" adjustColumnWidth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874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883" adjustColumnWidth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881" adjustColumnWidth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880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878" adjustColumnWidt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22" adjustColumnWidth="0" connectionId="2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9.xml><?xml version="1.0" encoding="utf-8"?>
<queryTable xmlns="http://schemas.openxmlformats.org/spreadsheetml/2006/main" name="ExternalData_8" adjustColumnWidth="0" connectionId="1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0.xml><?xml version="1.0" encoding="utf-8"?>
<queryTable xmlns="http://schemas.openxmlformats.org/spreadsheetml/2006/main" name="ExternalData_32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1.xml><?xml version="1.0" encoding="utf-8"?>
<queryTable xmlns="http://schemas.openxmlformats.org/spreadsheetml/2006/main" name="ExternalData_2" adjustColumnWidth="0" connectionId="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2.xml><?xml version="1.0" encoding="utf-8"?>
<queryTable xmlns="http://schemas.openxmlformats.org/spreadsheetml/2006/main" name="ExternalData_26" adjustColumnWidth="0" connectionId="4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43.xml><?xml version="1.0" encoding="utf-8"?>
<queryTable xmlns="http://schemas.openxmlformats.org/spreadsheetml/2006/main" name="ExternalData_4" adjustColumnWidth="0" connectionId="10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44.xml><?xml version="1.0" encoding="utf-8"?>
<queryTable xmlns="http://schemas.openxmlformats.org/spreadsheetml/2006/main" name="ExternalData_29" adjustColumnWidth="0" connectionId="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5.xml><?xml version="1.0" encoding="utf-8"?>
<queryTable xmlns="http://schemas.openxmlformats.org/spreadsheetml/2006/main" name="ExternalData_7" adjustColumnWidth="0" connectionId="1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6.xml><?xml version="1.0" encoding="utf-8"?>
<queryTable xmlns="http://schemas.openxmlformats.org/spreadsheetml/2006/main" name="ExternalData_30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7.xml><?xml version="1.0" encoding="utf-8"?>
<queryTable xmlns="http://schemas.openxmlformats.org/spreadsheetml/2006/main" name="ExternalData_12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8.xml><?xml version="1.0" encoding="utf-8"?>
<queryTable xmlns="http://schemas.openxmlformats.org/spreadsheetml/2006/main" name="ExternalData_23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9.xml><?xml version="1.0" encoding="utf-8"?>
<queryTable xmlns="http://schemas.openxmlformats.org/spreadsheetml/2006/main" name="ExternalData_5" adjustColumnWidth="0" connectionId="13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50.xml><?xml version="1.0" encoding="utf-8"?>
<queryTable xmlns="http://schemas.openxmlformats.org/spreadsheetml/2006/main" name="ExternalData_31" adjustColumnWidth="0" connectionId="1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1.xml><?xml version="1.0" encoding="utf-8"?>
<queryTable xmlns="http://schemas.openxmlformats.org/spreadsheetml/2006/main" name="ExternalData_28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2.xml><?xml version="1.0" encoding="utf-8"?>
<queryTable xmlns="http://schemas.openxmlformats.org/spreadsheetml/2006/main" name="ExternalData_6" adjustColumnWidth="0" connectionId="14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53.xml><?xml version="1.0" encoding="utf-8"?>
<queryTable xmlns="http://schemas.openxmlformats.org/spreadsheetml/2006/main" name="ExternalData_11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4.xml><?xml version="1.0" encoding="utf-8"?>
<queryTable xmlns="http://schemas.openxmlformats.org/spreadsheetml/2006/main" name="ExternalData_24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5.xml><?xml version="1.0" encoding="utf-8"?>
<queryTable xmlns="http://schemas.openxmlformats.org/spreadsheetml/2006/main" name="ExternalData_3" adjustColumnWidth="0" connectionId="7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56.xml><?xml version="1.0" encoding="utf-8"?>
<queryTable xmlns="http://schemas.openxmlformats.org/spreadsheetml/2006/main" name="ExternalData_9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7.xml><?xml version="1.0" encoding="utf-8"?>
<queryTable xmlns="http://schemas.openxmlformats.org/spreadsheetml/2006/main" name="ExternalData_10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8.xml><?xml version="1.0" encoding="utf-8"?>
<queryTable xmlns="http://schemas.openxmlformats.org/spreadsheetml/2006/main" name="ExternalData_27" adjustColumnWidth="0" connectionId="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9.xml><?xml version="1.0" encoding="utf-8"?>
<queryTable xmlns="http://schemas.openxmlformats.org/spreadsheetml/2006/main" name="ExternalData_13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0.xml><?xml version="1.0" encoding="utf-8"?>
<queryTable xmlns="http://schemas.openxmlformats.org/spreadsheetml/2006/main" name="ExternalData_1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13" Type="http://schemas.openxmlformats.org/officeDocument/2006/relationships/queryTable" Target="../queryTables/queryTable6.xml"/><Relationship Id="rId18" Type="http://schemas.openxmlformats.org/officeDocument/2006/relationships/queryTable" Target="../queryTables/queryTable11.xml"/><Relationship Id="rId26" Type="http://schemas.openxmlformats.org/officeDocument/2006/relationships/queryTable" Target="../queryTables/queryTable19.xml"/><Relationship Id="rId3" Type="http://schemas.openxmlformats.org/officeDocument/2006/relationships/drawing" Target="../drawings/drawing1.xml"/><Relationship Id="rId21" Type="http://schemas.openxmlformats.org/officeDocument/2006/relationships/queryTable" Target="../queryTables/queryTable14.xml"/><Relationship Id="rId7" Type="http://schemas.openxmlformats.org/officeDocument/2006/relationships/ctrlProp" Target="../ctrlProps/ctrlProp3.xml"/><Relationship Id="rId12" Type="http://schemas.openxmlformats.org/officeDocument/2006/relationships/queryTable" Target="../queryTables/queryTable5.xml"/><Relationship Id="rId17" Type="http://schemas.openxmlformats.org/officeDocument/2006/relationships/queryTable" Target="../queryTables/queryTable10.xml"/><Relationship Id="rId25" Type="http://schemas.openxmlformats.org/officeDocument/2006/relationships/queryTable" Target="../queryTables/queryTable18.xml"/><Relationship Id="rId2" Type="http://schemas.openxmlformats.org/officeDocument/2006/relationships/printerSettings" Target="../printerSettings/printerSettings1.bin"/><Relationship Id="rId16" Type="http://schemas.openxmlformats.org/officeDocument/2006/relationships/queryTable" Target="../queryTables/queryTable9.xml"/><Relationship Id="rId20" Type="http://schemas.openxmlformats.org/officeDocument/2006/relationships/queryTable" Target="../queryTables/queryTable13.xml"/><Relationship Id="rId1" Type="http://schemas.openxmlformats.org/officeDocument/2006/relationships/hyperlink" Target="http://aa.r34.cc/" TargetMode="External"/><Relationship Id="rId6" Type="http://schemas.openxmlformats.org/officeDocument/2006/relationships/ctrlProp" Target="../ctrlProps/ctrlProp2.xml"/><Relationship Id="rId11" Type="http://schemas.openxmlformats.org/officeDocument/2006/relationships/queryTable" Target="../queryTables/queryTable4.xml"/><Relationship Id="rId24" Type="http://schemas.openxmlformats.org/officeDocument/2006/relationships/queryTable" Target="../queryTables/queryTable17.xml"/><Relationship Id="rId5" Type="http://schemas.openxmlformats.org/officeDocument/2006/relationships/ctrlProp" Target="../ctrlProps/ctrlProp1.xml"/><Relationship Id="rId15" Type="http://schemas.openxmlformats.org/officeDocument/2006/relationships/queryTable" Target="../queryTables/queryTable8.xml"/><Relationship Id="rId23" Type="http://schemas.openxmlformats.org/officeDocument/2006/relationships/queryTable" Target="../queryTables/queryTable16.xml"/><Relationship Id="rId28" Type="http://schemas.openxmlformats.org/officeDocument/2006/relationships/comments" Target="../comments1.xml"/><Relationship Id="rId10" Type="http://schemas.openxmlformats.org/officeDocument/2006/relationships/queryTable" Target="../queryTables/queryTable3.xml"/><Relationship Id="rId19" Type="http://schemas.openxmlformats.org/officeDocument/2006/relationships/queryTable" Target="../queryTables/queryTable12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2.xml"/><Relationship Id="rId14" Type="http://schemas.openxmlformats.org/officeDocument/2006/relationships/queryTable" Target="../queryTables/queryTable7.xml"/><Relationship Id="rId22" Type="http://schemas.openxmlformats.org/officeDocument/2006/relationships/queryTable" Target="../queryTables/queryTable15.xml"/><Relationship Id="rId27" Type="http://schemas.openxmlformats.org/officeDocument/2006/relationships/queryTable" Target="../queryTables/queryTable2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3.xml"/><Relationship Id="rId13" Type="http://schemas.openxmlformats.org/officeDocument/2006/relationships/queryTable" Target="../queryTables/queryTable28.xml"/><Relationship Id="rId18" Type="http://schemas.openxmlformats.org/officeDocument/2006/relationships/queryTable" Target="../queryTables/queryTable33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36.xml"/><Relationship Id="rId7" Type="http://schemas.openxmlformats.org/officeDocument/2006/relationships/queryTable" Target="../queryTables/queryTable22.xml"/><Relationship Id="rId12" Type="http://schemas.openxmlformats.org/officeDocument/2006/relationships/queryTable" Target="../queryTables/queryTable27.xml"/><Relationship Id="rId17" Type="http://schemas.openxmlformats.org/officeDocument/2006/relationships/queryTable" Target="../queryTables/queryTable32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31.xml"/><Relationship Id="rId20" Type="http://schemas.openxmlformats.org/officeDocument/2006/relationships/queryTable" Target="../queryTables/queryTable35.xml"/><Relationship Id="rId1" Type="http://schemas.openxmlformats.org/officeDocument/2006/relationships/hyperlink" Target="http://aa.r34.cc/" TargetMode="External"/><Relationship Id="rId6" Type="http://schemas.openxmlformats.org/officeDocument/2006/relationships/queryTable" Target="../queryTables/queryTable21.xml"/><Relationship Id="rId11" Type="http://schemas.openxmlformats.org/officeDocument/2006/relationships/queryTable" Target="../queryTables/queryTable26.xml"/><Relationship Id="rId5" Type="http://schemas.openxmlformats.org/officeDocument/2006/relationships/ctrlProp" Target="../ctrlProps/ctrlProp5.xml"/><Relationship Id="rId15" Type="http://schemas.openxmlformats.org/officeDocument/2006/relationships/queryTable" Target="../queryTables/queryTable30.xml"/><Relationship Id="rId23" Type="http://schemas.openxmlformats.org/officeDocument/2006/relationships/comments" Target="../comments2.xml"/><Relationship Id="rId10" Type="http://schemas.openxmlformats.org/officeDocument/2006/relationships/queryTable" Target="../queryTables/queryTable25.xml"/><Relationship Id="rId19" Type="http://schemas.openxmlformats.org/officeDocument/2006/relationships/queryTable" Target="../queryTables/queryTable34.xml"/><Relationship Id="rId4" Type="http://schemas.openxmlformats.org/officeDocument/2006/relationships/ctrlProp" Target="../ctrlProps/ctrlProp4.xml"/><Relationship Id="rId9" Type="http://schemas.openxmlformats.org/officeDocument/2006/relationships/queryTable" Target="../queryTables/queryTable24.xml"/><Relationship Id="rId14" Type="http://schemas.openxmlformats.org/officeDocument/2006/relationships/queryTable" Target="../queryTables/queryTable29.xml"/><Relationship Id="rId22" Type="http://schemas.openxmlformats.org/officeDocument/2006/relationships/queryTable" Target="../queryTables/queryTable3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1.xml"/><Relationship Id="rId13" Type="http://schemas.openxmlformats.org/officeDocument/2006/relationships/queryTable" Target="../queryTables/queryTable46.xml"/><Relationship Id="rId18" Type="http://schemas.openxmlformats.org/officeDocument/2006/relationships/queryTable" Target="../queryTables/queryTable51.xml"/><Relationship Id="rId26" Type="http://schemas.openxmlformats.org/officeDocument/2006/relationships/queryTable" Target="../queryTables/queryTable59.xml"/><Relationship Id="rId3" Type="http://schemas.openxmlformats.org/officeDocument/2006/relationships/vmlDrawing" Target="../drawings/vmlDrawing4.vml"/><Relationship Id="rId21" Type="http://schemas.openxmlformats.org/officeDocument/2006/relationships/queryTable" Target="../queryTables/queryTable54.xml"/><Relationship Id="rId7" Type="http://schemas.openxmlformats.org/officeDocument/2006/relationships/queryTable" Target="../queryTables/queryTable40.xml"/><Relationship Id="rId12" Type="http://schemas.openxmlformats.org/officeDocument/2006/relationships/queryTable" Target="../queryTables/queryTable45.xml"/><Relationship Id="rId17" Type="http://schemas.openxmlformats.org/officeDocument/2006/relationships/queryTable" Target="../queryTables/queryTable50.xml"/><Relationship Id="rId25" Type="http://schemas.openxmlformats.org/officeDocument/2006/relationships/queryTable" Target="../queryTables/queryTable58.xml"/><Relationship Id="rId2" Type="http://schemas.openxmlformats.org/officeDocument/2006/relationships/drawing" Target="../drawings/drawing4.xml"/><Relationship Id="rId16" Type="http://schemas.openxmlformats.org/officeDocument/2006/relationships/queryTable" Target="../queryTables/queryTable49.xml"/><Relationship Id="rId20" Type="http://schemas.openxmlformats.org/officeDocument/2006/relationships/queryTable" Target="../queryTables/queryTable53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39.xml"/><Relationship Id="rId11" Type="http://schemas.openxmlformats.org/officeDocument/2006/relationships/queryTable" Target="../queryTables/queryTable44.xml"/><Relationship Id="rId24" Type="http://schemas.openxmlformats.org/officeDocument/2006/relationships/queryTable" Target="../queryTables/queryTable57.xml"/><Relationship Id="rId5" Type="http://schemas.openxmlformats.org/officeDocument/2006/relationships/queryTable" Target="../queryTables/queryTable38.xml"/><Relationship Id="rId15" Type="http://schemas.openxmlformats.org/officeDocument/2006/relationships/queryTable" Target="../queryTables/queryTable48.xml"/><Relationship Id="rId23" Type="http://schemas.openxmlformats.org/officeDocument/2006/relationships/queryTable" Target="../queryTables/queryTable56.xml"/><Relationship Id="rId10" Type="http://schemas.openxmlformats.org/officeDocument/2006/relationships/queryTable" Target="../queryTables/queryTable43.xml"/><Relationship Id="rId19" Type="http://schemas.openxmlformats.org/officeDocument/2006/relationships/queryTable" Target="../queryTables/queryTable52.xml"/><Relationship Id="rId4" Type="http://schemas.openxmlformats.org/officeDocument/2006/relationships/ctrlProp" Target="../ctrlProps/ctrlProp7.xml"/><Relationship Id="rId9" Type="http://schemas.openxmlformats.org/officeDocument/2006/relationships/queryTable" Target="../queryTables/queryTable42.xml"/><Relationship Id="rId14" Type="http://schemas.openxmlformats.org/officeDocument/2006/relationships/queryTable" Target="../queryTables/queryTable47.xml"/><Relationship Id="rId22" Type="http://schemas.openxmlformats.org/officeDocument/2006/relationships/queryTable" Target="../queryTables/queryTable55.xml"/><Relationship Id="rId27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X1325"/>
  <sheetViews>
    <sheetView tabSelected="1" zoomScale="115" zoomScaleNormal="115" workbookViewId="0">
      <selection activeCell="G10" sqref="G10"/>
    </sheetView>
  </sheetViews>
  <sheetFormatPr defaultColWidth="9" defaultRowHeight="14.4"/>
  <cols>
    <col min="1" max="1" width="21.44140625" style="55" customWidth="1"/>
    <col min="2" max="2" width="12.109375" style="55" customWidth="1"/>
    <col min="3" max="3" width="14" style="55" customWidth="1"/>
    <col min="4" max="4" width="12.6640625" style="54" customWidth="1"/>
    <col min="5" max="5" width="13" style="55" customWidth="1"/>
    <col min="6" max="6" width="14.21875" style="55" customWidth="1"/>
    <col min="7" max="7" width="20.77734375" style="55" customWidth="1"/>
    <col min="8" max="8" width="15.33203125" style="55" customWidth="1"/>
    <col min="9" max="9" width="3.44140625" style="55" customWidth="1"/>
    <col min="10" max="10" width="14.21875" style="55" customWidth="1"/>
    <col min="11" max="11" width="2.44140625" style="55" customWidth="1"/>
    <col min="12" max="12" width="9.77734375" style="55" customWidth="1"/>
    <col min="13" max="13" width="14.109375" style="55" customWidth="1"/>
    <col min="14" max="14" width="6.44140625" style="55" customWidth="1"/>
    <col min="15" max="15" width="6.6640625" style="55" customWidth="1"/>
    <col min="16" max="16" width="11.77734375" style="55" customWidth="1"/>
    <col min="17" max="17" width="7.44140625" style="55" customWidth="1"/>
    <col min="18" max="18" width="8" style="55" customWidth="1"/>
    <col min="19" max="19" width="7.77734375" style="55" customWidth="1"/>
    <col min="20" max="20" width="6.33203125" style="55" customWidth="1"/>
    <col min="21" max="21" width="9" style="55"/>
    <col min="22" max="28" width="8.109375" style="55" customWidth="1"/>
    <col min="29" max="16384" width="9" style="55"/>
  </cols>
  <sheetData>
    <row r="1" spans="1:50" ht="14.4" customHeight="1">
      <c r="A1" s="56" t="s">
        <v>0</v>
      </c>
      <c r="B1" s="57" t="s">
        <v>1</v>
      </c>
      <c r="C1" s="82" t="s">
        <v>175</v>
      </c>
      <c r="D1" s="58"/>
      <c r="E1" s="59" t="s">
        <v>2</v>
      </c>
      <c r="F1" s="82" t="s">
        <v>232</v>
      </c>
      <c r="I1" s="56"/>
      <c r="J1" s="56"/>
      <c r="K1" s="56"/>
      <c r="P1" s="56"/>
      <c r="Q1" s="56"/>
    </row>
    <row r="2" spans="1:50" ht="14.4" customHeight="1">
      <c r="D2" s="52"/>
      <c r="E2" s="59" t="s">
        <v>5</v>
      </c>
      <c r="F2" s="82" t="s">
        <v>233</v>
      </c>
      <c r="G2" s="57"/>
      <c r="H2" s="56"/>
      <c r="I2" s="56"/>
      <c r="J2" s="56"/>
      <c r="K2" s="56"/>
      <c r="N2" s="56"/>
      <c r="O2" s="56"/>
      <c r="P2" s="56"/>
      <c r="Q2" s="56"/>
    </row>
    <row r="3" spans="1:50" ht="14.4" customHeight="1">
      <c r="A3" s="55" t="s">
        <v>4</v>
      </c>
      <c r="B3" s="55" t="s">
        <v>1</v>
      </c>
      <c r="C3" s="87" t="s">
        <v>231</v>
      </c>
      <c r="D3" s="62"/>
      <c r="G3" s="56"/>
      <c r="H3" s="56"/>
      <c r="I3" s="59" t="s">
        <v>7</v>
      </c>
      <c r="J3" s="57" t="s">
        <v>8</v>
      </c>
      <c r="K3" s="56"/>
      <c r="L3" s="59" t="s">
        <v>9</v>
      </c>
      <c r="M3" s="57" t="s">
        <v>10</v>
      </c>
      <c r="N3" s="59" t="s">
        <v>6</v>
      </c>
      <c r="O3" s="69" t="str">
        <f>HYPERLINK(J4&amp;"/index.php/Qwadmin/Udno/addedit.html?sheetname="&amp;C1,J4&amp;"/index.php/Qwadmin/Udno/addedit.html?sheetname="&amp;C1)</f>
        <v>http://aa.r34.cc/index.php/Qwadmin/Udno/addedit.html?sheetname=经费使用测试</v>
      </c>
      <c r="P3" s="56"/>
      <c r="Q3" s="56"/>
    </row>
    <row r="4" spans="1:50" ht="14.4" customHeight="1">
      <c r="A4" s="56"/>
      <c r="B4" s="57"/>
      <c r="C4" s="61"/>
      <c r="D4" s="62"/>
      <c r="E4" s="59"/>
      <c r="F4" s="57"/>
      <c r="G4" s="57"/>
      <c r="H4" s="56"/>
      <c r="I4" s="59" t="s">
        <v>11</v>
      </c>
      <c r="J4" s="70" t="s">
        <v>241</v>
      </c>
      <c r="K4" s="56"/>
      <c r="L4" s="59" t="s">
        <v>12</v>
      </c>
      <c r="M4" s="57" t="s">
        <v>13</v>
      </c>
      <c r="N4" s="59" t="s">
        <v>3</v>
      </c>
      <c r="O4" s="68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http://aa.r34.cc/index.php/Qwadmin/Rwxy/echoteacherdb?conall=;数据表名等于经费使用测试;不显字段等于id,wrpw,data1,data2,ord,rpw,name,pid,custom1,custom2,sheetname;查看密码等于T8O6J3V1BB</v>
      </c>
      <c r="P4" s="56"/>
      <c r="Q4" s="56"/>
    </row>
    <row r="5" spans="1:50" ht="14.4" customHeight="1">
      <c r="A5" s="56"/>
      <c r="B5" s="57"/>
      <c r="C5" s="57"/>
      <c r="D5" s="62"/>
      <c r="E5" s="59" t="s">
        <v>14</v>
      </c>
      <c r="F5" s="63"/>
      <c r="G5" s="57"/>
      <c r="H5" s="56"/>
      <c r="I5" s="59" t="s">
        <v>16</v>
      </c>
      <c r="J5" s="60" t="s">
        <v>17</v>
      </c>
      <c r="K5" s="56"/>
      <c r="L5" s="59" t="s">
        <v>18</v>
      </c>
      <c r="M5" s="57" t="s">
        <v>19</v>
      </c>
      <c r="N5" s="59" t="s">
        <v>23</v>
      </c>
      <c r="O5" s="71" t="str">
        <f>HYPERLINK(J4&amp;"/index.php/Qwadmin/Rwxy/uniquerydata/rpw/"&amp;F1&amp;".html",J4&amp;"/index.php/Qwadmin/Rwxy/uniquerydata/rpw/"&amp;F1&amp;".html")</f>
        <v>http://aa.r34.cc/index.php/Qwadmin/Rwxy/uniquerydata/rpw/T8O6J3V1BB.html</v>
      </c>
      <c r="P5" s="56"/>
      <c r="Q5" s="56"/>
    </row>
    <row r="6" spans="1:50" ht="14.4" customHeight="1">
      <c r="A6" s="56"/>
      <c r="B6" s="57"/>
      <c r="C6" s="57"/>
      <c r="D6" s="52"/>
      <c r="E6" s="59" t="s">
        <v>20</v>
      </c>
      <c r="F6" s="64"/>
      <c r="G6" s="57"/>
      <c r="H6" s="56"/>
      <c r="I6" s="59" t="s">
        <v>22</v>
      </c>
      <c r="J6" s="60"/>
      <c r="K6" s="57"/>
      <c r="L6" s="59" t="s">
        <v>26</v>
      </c>
      <c r="M6" s="87" t="s">
        <v>173</v>
      </c>
      <c r="N6" s="81" t="s">
        <v>174</v>
      </c>
      <c r="O6" s="88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http://aa.r34.cc/index.php/Qwadmin/Udno/magrecords/wrpw/251H8837772190/sheetname/经费使用测试.html</v>
      </c>
      <c r="P6" s="56"/>
      <c r="Q6" s="56"/>
    </row>
    <row r="7" spans="1:50" ht="14.4" customHeight="1">
      <c r="A7" s="56"/>
      <c r="B7" s="57"/>
      <c r="C7" s="57"/>
      <c r="D7" s="52"/>
      <c r="E7" s="59"/>
      <c r="F7" s="65"/>
      <c r="G7" s="56"/>
      <c r="H7" s="56"/>
      <c r="I7" s="72" t="s">
        <v>24</v>
      </c>
      <c r="J7" s="73" t="s">
        <v>25</v>
      </c>
      <c r="K7" s="56"/>
      <c r="L7" s="59" t="s">
        <v>171</v>
      </c>
      <c r="M7" s="81" t="s">
        <v>242</v>
      </c>
      <c r="P7" s="56"/>
      <c r="Q7" s="56"/>
    </row>
    <row r="8" spans="1:50" ht="14.4" customHeight="1">
      <c r="A8" s="56" t="s">
        <v>27</v>
      </c>
      <c r="B8" s="57" t="s">
        <v>1</v>
      </c>
      <c r="C8" s="76" t="s">
        <v>28</v>
      </c>
      <c r="D8" s="62"/>
      <c r="E8" s="59"/>
      <c r="F8" s="65"/>
      <c r="G8" s="56"/>
      <c r="H8" s="56"/>
      <c r="K8" s="56"/>
      <c r="N8" s="56"/>
      <c r="O8" s="56"/>
      <c r="P8" s="56"/>
      <c r="Q8" s="56"/>
    </row>
    <row r="9" spans="1:50" s="52" customFormat="1" ht="14.4" customHeight="1">
      <c r="A9" s="77" t="s">
        <v>29</v>
      </c>
      <c r="B9" s="77" t="s">
        <v>15</v>
      </c>
      <c r="C9" s="77" t="s">
        <v>21</v>
      </c>
      <c r="D9" s="77" t="s">
        <v>30</v>
      </c>
      <c r="E9" s="77" t="s">
        <v>17</v>
      </c>
      <c r="F9" s="78"/>
      <c r="G9" s="77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9"/>
    </row>
    <row r="10" spans="1:50" s="53" customFormat="1" ht="14.4" customHeight="1"/>
    <row r="11" spans="1:50" s="52" customFormat="1" ht="14.4" customHeight="1">
      <c r="A11" s="89" t="s">
        <v>176</v>
      </c>
      <c r="B11" s="89" t="s">
        <v>177</v>
      </c>
      <c r="C11" s="89" t="s">
        <v>234</v>
      </c>
      <c r="D11" s="90" t="s">
        <v>178</v>
      </c>
      <c r="E11" s="91" t="s">
        <v>179</v>
      </c>
      <c r="F11" s="94"/>
      <c r="G11" s="83"/>
      <c r="H11" s="84"/>
      <c r="I11" s="84"/>
      <c r="J11" s="84"/>
      <c r="K11" s="84"/>
      <c r="L11" s="84"/>
      <c r="M11" s="84"/>
    </row>
    <row r="12" spans="1:50" s="54" customFormat="1" ht="14.4" customHeight="1">
      <c r="A12" s="89" t="s">
        <v>180</v>
      </c>
      <c r="B12" s="89" t="s">
        <v>181</v>
      </c>
      <c r="C12" s="89">
        <v>22179.5</v>
      </c>
      <c r="D12" s="89" t="s">
        <v>235</v>
      </c>
      <c r="E12" s="91">
        <v>20190101</v>
      </c>
      <c r="F12" s="85"/>
      <c r="G12" s="85"/>
      <c r="H12" s="80"/>
    </row>
    <row r="13" spans="1:50" s="54" customFormat="1" ht="14.4" customHeight="1">
      <c r="A13" s="89" t="s">
        <v>182</v>
      </c>
      <c r="B13" s="89" t="s">
        <v>181</v>
      </c>
      <c r="C13" s="89">
        <v>9737</v>
      </c>
      <c r="D13" s="89" t="s">
        <v>190</v>
      </c>
      <c r="E13" s="91">
        <v>20190101</v>
      </c>
      <c r="F13" s="85"/>
      <c r="G13" s="85"/>
      <c r="H13" s="80"/>
    </row>
    <row r="14" spans="1:50" s="54" customFormat="1" ht="14.4" customHeight="1">
      <c r="A14" s="89" t="s">
        <v>183</v>
      </c>
      <c r="B14" s="89" t="s">
        <v>181</v>
      </c>
      <c r="C14" s="89">
        <v>10502.1</v>
      </c>
      <c r="D14" s="89" t="s">
        <v>191</v>
      </c>
      <c r="E14" s="91">
        <v>20190101</v>
      </c>
      <c r="F14" s="85"/>
      <c r="G14" s="85"/>
      <c r="H14" s="80"/>
    </row>
    <row r="15" spans="1:50" s="54" customFormat="1" ht="14.4" customHeight="1">
      <c r="A15" s="89" t="s">
        <v>184</v>
      </c>
      <c r="B15" s="89" t="s">
        <v>181</v>
      </c>
      <c r="C15" s="89">
        <v>2325</v>
      </c>
      <c r="D15" s="89" t="s">
        <v>192</v>
      </c>
      <c r="E15" s="91">
        <v>20190101</v>
      </c>
      <c r="F15" s="85"/>
      <c r="G15" s="85"/>
      <c r="H15" s="80"/>
    </row>
    <row r="16" spans="1:50" s="54" customFormat="1" ht="14.4" customHeight="1">
      <c r="A16" s="89" t="s">
        <v>185</v>
      </c>
      <c r="B16" s="89" t="s">
        <v>181</v>
      </c>
      <c r="C16" s="89">
        <v>9900</v>
      </c>
      <c r="D16" s="89" t="s">
        <v>193</v>
      </c>
      <c r="E16" s="91">
        <v>20190101</v>
      </c>
      <c r="F16" s="86"/>
      <c r="G16" s="86"/>
    </row>
    <row r="17" spans="1:9" s="54" customFormat="1" ht="14.4" customHeight="1">
      <c r="A17" s="89" t="s">
        <v>186</v>
      </c>
      <c r="B17" s="89" t="s">
        <v>181</v>
      </c>
      <c r="C17" s="89">
        <v>4216</v>
      </c>
      <c r="D17" s="89" t="s">
        <v>194</v>
      </c>
      <c r="E17" s="91">
        <v>20190101</v>
      </c>
      <c r="F17" s="86"/>
      <c r="G17" s="86"/>
      <c r="I17" s="75"/>
    </row>
    <row r="18" spans="1:9" s="54" customFormat="1" ht="14.4" customHeight="1">
      <c r="A18" s="89" t="s">
        <v>187</v>
      </c>
      <c r="B18" s="89" t="s">
        <v>181</v>
      </c>
      <c r="C18" s="89">
        <v>18822.62</v>
      </c>
      <c r="D18" s="89" t="s">
        <v>195</v>
      </c>
      <c r="E18" s="91">
        <v>20190101</v>
      </c>
      <c r="F18" s="66"/>
      <c r="G18" s="66"/>
      <c r="I18" s="75"/>
    </row>
    <row r="19" spans="1:9" ht="14.4" customHeight="1">
      <c r="A19" s="89" t="s">
        <v>187</v>
      </c>
      <c r="B19" s="89" t="s">
        <v>188</v>
      </c>
      <c r="C19" s="89">
        <v>3500</v>
      </c>
      <c r="D19" s="89" t="s">
        <v>196</v>
      </c>
      <c r="E19" s="91">
        <v>20190328</v>
      </c>
      <c r="F19" s="67"/>
      <c r="G19" s="67"/>
      <c r="I19" s="75"/>
    </row>
    <row r="20" spans="1:9" ht="14.4" customHeight="1">
      <c r="A20" s="89" t="s">
        <v>186</v>
      </c>
      <c r="B20" s="89" t="s">
        <v>181</v>
      </c>
      <c r="C20" s="89">
        <v>3500</v>
      </c>
      <c r="D20" s="89" t="s">
        <v>197</v>
      </c>
      <c r="E20" s="91">
        <v>20190328</v>
      </c>
      <c r="F20" s="67"/>
      <c r="G20" s="67"/>
      <c r="I20" s="75"/>
    </row>
    <row r="21" spans="1:9" ht="14.4" customHeight="1">
      <c r="A21" s="89" t="s">
        <v>187</v>
      </c>
      <c r="B21" s="89" t="s">
        <v>188</v>
      </c>
      <c r="C21" s="89">
        <v>3550</v>
      </c>
      <c r="D21" s="89" t="s">
        <v>198</v>
      </c>
      <c r="E21" s="91">
        <v>20190329</v>
      </c>
      <c r="F21" s="67"/>
      <c r="G21" s="67"/>
      <c r="I21" s="75"/>
    </row>
    <row r="22" spans="1:9" ht="14.4" customHeight="1">
      <c r="A22" s="89" t="s">
        <v>187</v>
      </c>
      <c r="B22" s="89" t="s">
        <v>188</v>
      </c>
      <c r="C22" s="89">
        <v>3550</v>
      </c>
      <c r="D22" s="89" t="s">
        <v>199</v>
      </c>
      <c r="E22" s="91">
        <v>20190329</v>
      </c>
      <c r="F22" s="67"/>
      <c r="G22" s="67"/>
      <c r="I22" s="75"/>
    </row>
    <row r="23" spans="1:9" ht="14.4" customHeight="1">
      <c r="A23" s="89" t="s">
        <v>186</v>
      </c>
      <c r="B23" s="89" t="s">
        <v>188</v>
      </c>
      <c r="C23" s="89">
        <v>1856.5</v>
      </c>
      <c r="D23" s="89" t="s">
        <v>200</v>
      </c>
      <c r="E23" s="91">
        <v>20190329</v>
      </c>
      <c r="F23" s="67"/>
      <c r="G23" s="67"/>
      <c r="I23" s="75"/>
    </row>
    <row r="24" spans="1:9" ht="14.4" customHeight="1">
      <c r="A24" s="89" t="s">
        <v>186</v>
      </c>
      <c r="B24" s="89" t="s">
        <v>188</v>
      </c>
      <c r="C24" s="89">
        <v>638.5</v>
      </c>
      <c r="D24" s="89" t="s">
        <v>201</v>
      </c>
      <c r="E24" s="91">
        <v>20190410</v>
      </c>
      <c r="F24" s="67"/>
      <c r="G24" s="67"/>
      <c r="I24" s="75"/>
    </row>
    <row r="25" spans="1:9" ht="14.4" customHeight="1">
      <c r="A25" s="89" t="s">
        <v>186</v>
      </c>
      <c r="B25" s="89" t="s">
        <v>188</v>
      </c>
      <c r="C25" s="89">
        <v>1138</v>
      </c>
      <c r="D25" s="89" t="s">
        <v>202</v>
      </c>
      <c r="E25" s="92">
        <v>20190412</v>
      </c>
      <c r="I25" s="75"/>
    </row>
    <row r="26" spans="1:9" ht="14.4" customHeight="1">
      <c r="A26" s="89" t="s">
        <v>186</v>
      </c>
      <c r="B26" s="89" t="s">
        <v>188</v>
      </c>
      <c r="C26" s="89">
        <v>401</v>
      </c>
      <c r="D26" s="89" t="s">
        <v>203</v>
      </c>
      <c r="E26" s="92">
        <v>20190412</v>
      </c>
      <c r="I26" s="75"/>
    </row>
    <row r="27" spans="1:9" ht="14.4" customHeight="1">
      <c r="A27" s="89" t="s">
        <v>186</v>
      </c>
      <c r="B27" s="89" t="s">
        <v>188</v>
      </c>
      <c r="C27" s="89">
        <v>799</v>
      </c>
      <c r="D27" s="89" t="s">
        <v>204</v>
      </c>
      <c r="E27" s="92">
        <v>20190412</v>
      </c>
      <c r="I27" s="75"/>
    </row>
    <row r="28" spans="1:9" ht="14.4" customHeight="1">
      <c r="A28" s="89" t="s">
        <v>180</v>
      </c>
      <c r="B28" s="89" t="s">
        <v>188</v>
      </c>
      <c r="C28" s="89">
        <v>540.5</v>
      </c>
      <c r="D28" s="89" t="s">
        <v>205</v>
      </c>
      <c r="E28" s="92">
        <v>20190418</v>
      </c>
      <c r="I28" s="75"/>
    </row>
    <row r="29" spans="1:9" ht="14.4" customHeight="1">
      <c r="A29" s="89" t="s">
        <v>180</v>
      </c>
      <c r="B29" s="89" t="s">
        <v>188</v>
      </c>
      <c r="C29" s="89">
        <v>465.7</v>
      </c>
      <c r="D29" s="89" t="s">
        <v>206</v>
      </c>
      <c r="E29" s="92">
        <v>20190422</v>
      </c>
      <c r="I29" s="75"/>
    </row>
    <row r="30" spans="1:9" ht="14.4" customHeight="1">
      <c r="A30" s="89" t="s">
        <v>180</v>
      </c>
      <c r="B30" s="89" t="s">
        <v>188</v>
      </c>
      <c r="C30" s="89">
        <v>785</v>
      </c>
      <c r="D30" s="89" t="s">
        <v>207</v>
      </c>
      <c r="E30" s="92">
        <v>20190423</v>
      </c>
      <c r="I30" s="75"/>
    </row>
    <row r="31" spans="1:9" ht="14.4" customHeight="1">
      <c r="A31" s="89" t="s">
        <v>180</v>
      </c>
      <c r="B31" s="89" t="s">
        <v>188</v>
      </c>
      <c r="C31" s="89">
        <v>579</v>
      </c>
      <c r="D31" s="89" t="s">
        <v>208</v>
      </c>
      <c r="E31" s="92">
        <v>20190424</v>
      </c>
      <c r="I31" s="75"/>
    </row>
    <row r="32" spans="1:9" ht="14.4" customHeight="1">
      <c r="A32" s="89" t="s">
        <v>187</v>
      </c>
      <c r="B32" s="89" t="s">
        <v>188</v>
      </c>
      <c r="C32" s="89">
        <v>3550</v>
      </c>
      <c r="D32" s="89" t="s">
        <v>209</v>
      </c>
      <c r="E32" s="92">
        <v>20190426</v>
      </c>
      <c r="I32" s="75"/>
    </row>
    <row r="33" spans="1:9" ht="14.4" customHeight="1">
      <c r="A33" s="89" t="s">
        <v>187</v>
      </c>
      <c r="B33" s="89" t="s">
        <v>188</v>
      </c>
      <c r="C33" s="89">
        <v>3550</v>
      </c>
      <c r="D33" s="89" t="s">
        <v>210</v>
      </c>
      <c r="E33" s="92">
        <v>20190426</v>
      </c>
      <c r="I33" s="75"/>
    </row>
    <row r="34" spans="1:9" ht="14.4" customHeight="1">
      <c r="A34" s="89" t="s">
        <v>186</v>
      </c>
      <c r="B34" s="89" t="s">
        <v>188</v>
      </c>
      <c r="C34" s="89">
        <v>539.91999999999996</v>
      </c>
      <c r="D34" s="89" t="s">
        <v>211</v>
      </c>
      <c r="E34" s="92">
        <v>20190429</v>
      </c>
      <c r="I34" s="75"/>
    </row>
    <row r="35" spans="1:9" ht="14.4" customHeight="1">
      <c r="A35" s="89" t="s">
        <v>185</v>
      </c>
      <c r="B35" s="89" t="s">
        <v>188</v>
      </c>
      <c r="C35" s="89">
        <v>2925</v>
      </c>
      <c r="D35" s="89" t="s">
        <v>212</v>
      </c>
      <c r="E35" s="92">
        <v>20190430</v>
      </c>
      <c r="I35" s="75"/>
    </row>
    <row r="36" spans="1:9" ht="14.4" customHeight="1">
      <c r="A36" s="89" t="s">
        <v>180</v>
      </c>
      <c r="B36" s="89" t="s">
        <v>188</v>
      </c>
      <c r="C36" s="89">
        <v>2500</v>
      </c>
      <c r="D36" s="89" t="s">
        <v>213</v>
      </c>
      <c r="E36" s="92">
        <v>20190430</v>
      </c>
      <c r="I36" s="75"/>
    </row>
    <row r="37" spans="1:9" ht="14.4" customHeight="1">
      <c r="A37" s="89" t="s">
        <v>180</v>
      </c>
      <c r="B37" s="89" t="s">
        <v>188</v>
      </c>
      <c r="C37" s="89">
        <v>822</v>
      </c>
      <c r="D37" s="89" t="s">
        <v>214</v>
      </c>
      <c r="E37" s="92">
        <v>20190508</v>
      </c>
      <c r="I37" s="75"/>
    </row>
    <row r="38" spans="1:9" ht="14.4" customHeight="1">
      <c r="A38" s="89" t="s">
        <v>186</v>
      </c>
      <c r="B38" s="89" t="s">
        <v>188</v>
      </c>
      <c r="C38" s="89">
        <v>2120</v>
      </c>
      <c r="D38" s="89" t="s">
        <v>215</v>
      </c>
      <c r="E38" s="92">
        <v>20190507</v>
      </c>
      <c r="I38" s="75"/>
    </row>
    <row r="39" spans="1:9" ht="14.4" customHeight="1">
      <c r="A39" s="89" t="s">
        <v>180</v>
      </c>
      <c r="B39" s="89" t="s">
        <v>188</v>
      </c>
      <c r="C39" s="89">
        <v>16487.3</v>
      </c>
      <c r="D39" s="89" t="s">
        <v>216</v>
      </c>
      <c r="E39" s="92">
        <v>20190514</v>
      </c>
      <c r="I39" s="75"/>
    </row>
    <row r="40" spans="1:9" ht="14.4" customHeight="1">
      <c r="A40" s="89" t="s">
        <v>189</v>
      </c>
      <c r="B40" s="89" t="s">
        <v>181</v>
      </c>
      <c r="C40" s="89">
        <v>16487.3</v>
      </c>
      <c r="D40" s="89" t="s">
        <v>217</v>
      </c>
      <c r="E40" s="92">
        <v>20190514</v>
      </c>
      <c r="I40" s="75"/>
    </row>
    <row r="41" spans="1:9" ht="14.4" customHeight="1">
      <c r="A41" s="89" t="s">
        <v>182</v>
      </c>
      <c r="B41" s="89" t="s">
        <v>181</v>
      </c>
      <c r="C41" s="89">
        <v>8185.6</v>
      </c>
      <c r="D41" s="89" t="s">
        <v>218</v>
      </c>
      <c r="E41" s="92">
        <v>20190514</v>
      </c>
      <c r="I41" s="75"/>
    </row>
    <row r="42" spans="1:9" ht="14.4" customHeight="1">
      <c r="A42" s="89" t="s">
        <v>183</v>
      </c>
      <c r="B42" s="89" t="s">
        <v>188</v>
      </c>
      <c r="C42" s="89">
        <v>10502.1</v>
      </c>
      <c r="D42" s="89" t="s">
        <v>219</v>
      </c>
      <c r="E42" s="92">
        <v>20190514</v>
      </c>
      <c r="I42" s="75"/>
    </row>
    <row r="43" spans="1:9" ht="14.4" customHeight="1">
      <c r="A43" s="89" t="s">
        <v>184</v>
      </c>
      <c r="B43" s="89" t="s">
        <v>181</v>
      </c>
      <c r="C43" s="89">
        <v>2316.5</v>
      </c>
      <c r="D43" s="89" t="s">
        <v>220</v>
      </c>
      <c r="E43" s="92">
        <v>20190514</v>
      </c>
      <c r="I43" s="75"/>
    </row>
    <row r="44" spans="1:9" ht="14.4" customHeight="1">
      <c r="A44" s="89" t="s">
        <v>187</v>
      </c>
      <c r="B44" s="89" t="s">
        <v>181</v>
      </c>
      <c r="C44" s="89">
        <v>3605</v>
      </c>
      <c r="D44" s="89" t="s">
        <v>221</v>
      </c>
      <c r="E44" s="92">
        <v>20190426</v>
      </c>
      <c r="I44" s="75"/>
    </row>
    <row r="45" spans="1:9" ht="14.4" customHeight="1">
      <c r="A45" s="89" t="s">
        <v>185</v>
      </c>
      <c r="B45" s="89" t="s">
        <v>188</v>
      </c>
      <c r="C45" s="89">
        <v>3382</v>
      </c>
      <c r="D45" s="89" t="s">
        <v>222</v>
      </c>
      <c r="E45" s="92">
        <v>20190426</v>
      </c>
      <c r="I45" s="75"/>
    </row>
    <row r="46" spans="1:9" ht="14.4" customHeight="1">
      <c r="A46" s="89" t="s">
        <v>186</v>
      </c>
      <c r="B46" s="89" t="s">
        <v>188</v>
      </c>
      <c r="C46" s="89">
        <v>223</v>
      </c>
      <c r="D46" s="89" t="s">
        <v>223</v>
      </c>
      <c r="E46" s="92">
        <v>20190426</v>
      </c>
      <c r="I46" s="75"/>
    </row>
    <row r="47" spans="1:9" ht="14.4" customHeight="1">
      <c r="A47" s="89" t="s">
        <v>187</v>
      </c>
      <c r="B47" s="89" t="s">
        <v>188</v>
      </c>
      <c r="C47" s="89">
        <v>3550</v>
      </c>
      <c r="D47" s="89" t="s">
        <v>224</v>
      </c>
      <c r="E47" s="92">
        <v>20190426</v>
      </c>
      <c r="I47" s="75"/>
    </row>
    <row r="48" spans="1:9" ht="14.4" customHeight="1">
      <c r="A48" s="89" t="s">
        <v>185</v>
      </c>
      <c r="B48" s="89" t="s">
        <v>188</v>
      </c>
      <c r="C48" s="89">
        <v>3592.86</v>
      </c>
      <c r="D48" s="89" t="s">
        <v>225</v>
      </c>
      <c r="E48" s="92">
        <v>20190426</v>
      </c>
      <c r="I48" s="75"/>
    </row>
    <row r="49" spans="1:9" ht="14.4" customHeight="1">
      <c r="A49" s="89" t="s">
        <v>182</v>
      </c>
      <c r="B49" s="89" t="s">
        <v>188</v>
      </c>
      <c r="C49" s="89">
        <v>8910</v>
      </c>
      <c r="D49" s="89" t="s">
        <v>226</v>
      </c>
      <c r="E49" s="92">
        <v>20190508</v>
      </c>
      <c r="I49" s="75"/>
    </row>
    <row r="50" spans="1:9" ht="14.4" customHeight="1">
      <c r="A50" s="89" t="s">
        <v>189</v>
      </c>
      <c r="B50" s="89" t="s">
        <v>188</v>
      </c>
      <c r="C50" s="89"/>
      <c r="D50" s="89" t="s">
        <v>227</v>
      </c>
      <c r="E50" s="92">
        <v>20190514</v>
      </c>
      <c r="I50" s="75"/>
    </row>
    <row r="51" spans="1:9" ht="14.4" customHeight="1">
      <c r="A51" s="89" t="s">
        <v>182</v>
      </c>
      <c r="B51" s="89" t="s">
        <v>188</v>
      </c>
      <c r="C51" s="89"/>
      <c r="D51" s="89" t="s">
        <v>228</v>
      </c>
      <c r="E51" s="92">
        <v>20190514</v>
      </c>
      <c r="I51" s="75"/>
    </row>
    <row r="52" spans="1:9" ht="14.4" customHeight="1">
      <c r="A52" s="89" t="s">
        <v>189</v>
      </c>
      <c r="B52" s="89" t="s">
        <v>188</v>
      </c>
      <c r="C52" s="89"/>
      <c r="D52" s="89" t="s">
        <v>229</v>
      </c>
      <c r="E52" s="92">
        <v>20190514</v>
      </c>
      <c r="I52" s="75"/>
    </row>
    <row r="53" spans="1:9" ht="14.4" customHeight="1">
      <c r="A53" s="89" t="s">
        <v>185</v>
      </c>
      <c r="B53" s="89" t="s">
        <v>181</v>
      </c>
      <c r="C53" s="89">
        <v>111</v>
      </c>
      <c r="D53" s="100" t="s">
        <v>227</v>
      </c>
      <c r="E53" s="92">
        <v>20190426</v>
      </c>
      <c r="I53" s="75"/>
    </row>
    <row r="54" spans="1:9" ht="14.4" customHeight="1">
      <c r="I54" s="75"/>
    </row>
    <row r="55" spans="1:9" ht="14.4" customHeight="1">
      <c r="I55" s="75"/>
    </row>
    <row r="56" spans="1:9" ht="14.4" customHeight="1">
      <c r="I56" s="75"/>
    </row>
    <row r="57" spans="1:9" ht="14.4" customHeight="1">
      <c r="I57" s="75"/>
    </row>
    <row r="58" spans="1:9" ht="14.4" customHeight="1">
      <c r="I58" s="75"/>
    </row>
    <row r="59" spans="1:9" ht="14.4" customHeight="1">
      <c r="I59" s="75"/>
    </row>
    <row r="60" spans="1:9" ht="14.4" customHeight="1">
      <c r="I60" s="75"/>
    </row>
    <row r="61" spans="1:9" ht="14.4" customHeight="1">
      <c r="I61" s="75"/>
    </row>
    <row r="62" spans="1:9" ht="14.4" customHeight="1">
      <c r="I62" s="75"/>
    </row>
    <row r="63" spans="1:9" ht="14.4" customHeight="1">
      <c r="I63" s="75"/>
    </row>
    <row r="64" spans="1:9" ht="14.4" customHeight="1">
      <c r="I64" s="75"/>
    </row>
    <row r="65" spans="9:9" s="55" customFormat="1" ht="14.4" customHeight="1">
      <c r="I65" s="75"/>
    </row>
    <row r="66" spans="9:9" s="55" customFormat="1" ht="14.4" customHeight="1">
      <c r="I66" s="75"/>
    </row>
    <row r="67" spans="9:9" s="55" customFormat="1" ht="14.4" customHeight="1">
      <c r="I67" s="75"/>
    </row>
    <row r="68" spans="9:9" s="55" customFormat="1" ht="14.4" customHeight="1">
      <c r="I68" s="75"/>
    </row>
    <row r="69" spans="9:9" s="55" customFormat="1" ht="14.4" customHeight="1">
      <c r="I69" s="75"/>
    </row>
    <row r="70" spans="9:9" s="55" customFormat="1" ht="14.4" customHeight="1">
      <c r="I70" s="75"/>
    </row>
    <row r="71" spans="9:9" s="55" customFormat="1" ht="14.4" customHeight="1">
      <c r="I71" s="75"/>
    </row>
    <row r="72" spans="9:9" s="55" customFormat="1" ht="14.4" customHeight="1">
      <c r="I72" s="75"/>
    </row>
    <row r="73" spans="9:9" s="55" customFormat="1" ht="14.4" customHeight="1">
      <c r="I73" s="75"/>
    </row>
    <row r="74" spans="9:9" s="55" customFormat="1" ht="14.4" customHeight="1">
      <c r="I74" s="75"/>
    </row>
    <row r="75" spans="9:9" s="55" customFormat="1" ht="14.4" customHeight="1">
      <c r="I75" s="75"/>
    </row>
    <row r="76" spans="9:9" s="55" customFormat="1" ht="14.4" customHeight="1">
      <c r="I76" s="75"/>
    </row>
    <row r="77" spans="9:9" s="55" customFormat="1" ht="14.4" customHeight="1">
      <c r="I77" s="75"/>
    </row>
    <row r="78" spans="9:9" s="55" customFormat="1" ht="14.4" customHeight="1">
      <c r="I78" s="75"/>
    </row>
    <row r="79" spans="9:9" s="55" customFormat="1" ht="14.4" customHeight="1">
      <c r="I79" s="75"/>
    </row>
    <row r="80" spans="9:9" s="55" customFormat="1" ht="14.4" customHeight="1">
      <c r="I80" s="75"/>
    </row>
    <row r="81" spans="9:9" s="55" customFormat="1" ht="14.4" customHeight="1">
      <c r="I81" s="75"/>
    </row>
    <row r="82" spans="9:9" s="55" customFormat="1" ht="14.4" customHeight="1">
      <c r="I82" s="75"/>
    </row>
    <row r="83" spans="9:9" s="55" customFormat="1" ht="14.4" customHeight="1">
      <c r="I83" s="75"/>
    </row>
    <row r="84" spans="9:9" s="55" customFormat="1" ht="14.4" customHeight="1">
      <c r="I84" s="75"/>
    </row>
    <row r="85" spans="9:9" s="55" customFormat="1" ht="14.4" customHeight="1">
      <c r="I85" s="75"/>
    </row>
    <row r="86" spans="9:9" s="55" customFormat="1" ht="14.4" customHeight="1">
      <c r="I86" s="75"/>
    </row>
    <row r="87" spans="9:9" s="55" customFormat="1" ht="14.4" customHeight="1">
      <c r="I87" s="75"/>
    </row>
    <row r="88" spans="9:9" s="55" customFormat="1" ht="14.4" customHeight="1">
      <c r="I88" s="75"/>
    </row>
    <row r="89" spans="9:9" s="55" customFormat="1" ht="14.4" customHeight="1">
      <c r="I89" s="75"/>
    </row>
    <row r="90" spans="9:9" s="55" customFormat="1" ht="14.4" customHeight="1">
      <c r="I90" s="75"/>
    </row>
    <row r="91" spans="9:9" s="55" customFormat="1" ht="14.4" customHeight="1">
      <c r="I91" s="75"/>
    </row>
    <row r="92" spans="9:9" s="55" customFormat="1" ht="14.4" customHeight="1">
      <c r="I92" s="75"/>
    </row>
    <row r="93" spans="9:9" s="55" customFormat="1" ht="14.4" customHeight="1">
      <c r="I93" s="75"/>
    </row>
    <row r="94" spans="9:9" s="55" customFormat="1" ht="14.4" customHeight="1">
      <c r="I94" s="75"/>
    </row>
    <row r="95" spans="9:9" s="55" customFormat="1" ht="14.4" customHeight="1">
      <c r="I95" s="75"/>
    </row>
    <row r="96" spans="9:9" s="55" customFormat="1" ht="14.4" customHeight="1">
      <c r="I96" s="75"/>
    </row>
    <row r="97" spans="9:9" s="55" customFormat="1" ht="14.4" customHeight="1">
      <c r="I97" s="75"/>
    </row>
    <row r="98" spans="9:9" s="55" customFormat="1" ht="14.4" customHeight="1">
      <c r="I98" s="75"/>
    </row>
    <row r="99" spans="9:9" s="55" customFormat="1" ht="14.4" customHeight="1">
      <c r="I99" s="75"/>
    </row>
    <row r="100" spans="9:9" s="55" customFormat="1" ht="14.4" customHeight="1">
      <c r="I100" s="75"/>
    </row>
    <row r="101" spans="9:9" s="55" customFormat="1" ht="14.4" customHeight="1">
      <c r="I101" s="75"/>
    </row>
    <row r="102" spans="9:9" s="55" customFormat="1" ht="14.4" customHeight="1">
      <c r="I102" s="75"/>
    </row>
    <row r="103" spans="9:9" s="55" customFormat="1" ht="14.4" customHeight="1">
      <c r="I103" s="75"/>
    </row>
    <row r="104" spans="9:9" s="55" customFormat="1" ht="14.4" customHeight="1">
      <c r="I104" s="75"/>
    </row>
    <row r="105" spans="9:9" s="55" customFormat="1" ht="14.4" customHeight="1">
      <c r="I105" s="75"/>
    </row>
    <row r="106" spans="9:9" s="55" customFormat="1" ht="14.4" customHeight="1">
      <c r="I106" s="75"/>
    </row>
    <row r="107" spans="9:9" s="55" customFormat="1" ht="14.4" customHeight="1">
      <c r="I107" s="75"/>
    </row>
    <row r="108" spans="9:9" s="55" customFormat="1" ht="14.4" customHeight="1">
      <c r="I108" s="75"/>
    </row>
    <row r="109" spans="9:9" s="55" customFormat="1" ht="14.4" customHeight="1">
      <c r="I109" s="75"/>
    </row>
    <row r="110" spans="9:9" s="55" customFormat="1" ht="14.4" customHeight="1">
      <c r="I110" s="75"/>
    </row>
    <row r="111" spans="9:9" s="55" customFormat="1" ht="14.4" customHeight="1">
      <c r="I111" s="75"/>
    </row>
    <row r="112" spans="9:9" s="55" customFormat="1" ht="14.4" customHeight="1">
      <c r="I112" s="75"/>
    </row>
    <row r="113" spans="9:9" s="55" customFormat="1" ht="14.4" customHeight="1">
      <c r="I113" s="75"/>
    </row>
    <row r="114" spans="9:9" s="55" customFormat="1" ht="14.4" customHeight="1">
      <c r="I114" s="75"/>
    </row>
    <row r="115" spans="9:9" s="55" customFormat="1" ht="14.4" customHeight="1">
      <c r="I115" s="75"/>
    </row>
    <row r="116" spans="9:9" s="55" customFormat="1" ht="14.4" customHeight="1">
      <c r="I116" s="75"/>
    </row>
    <row r="117" spans="9:9" s="55" customFormat="1" ht="14.4" customHeight="1">
      <c r="I117" s="75"/>
    </row>
    <row r="118" spans="9:9" s="55" customFormat="1" ht="14.4" customHeight="1">
      <c r="I118" s="75"/>
    </row>
    <row r="119" spans="9:9" s="55" customFormat="1" ht="14.4" customHeight="1">
      <c r="I119" s="75"/>
    </row>
    <row r="120" spans="9:9" s="55" customFormat="1" ht="14.4" customHeight="1">
      <c r="I120" s="75"/>
    </row>
    <row r="121" spans="9:9" s="55" customFormat="1" ht="14.4" customHeight="1">
      <c r="I121" s="75"/>
    </row>
    <row r="122" spans="9:9" s="55" customFormat="1" ht="14.4" customHeight="1">
      <c r="I122" s="75"/>
    </row>
    <row r="123" spans="9:9" s="55" customFormat="1" ht="14.4" customHeight="1">
      <c r="I123" s="75"/>
    </row>
    <row r="124" spans="9:9" s="55" customFormat="1" ht="14.4" customHeight="1">
      <c r="I124" s="75"/>
    </row>
    <row r="125" spans="9:9" s="55" customFormat="1" ht="14.4" customHeight="1">
      <c r="I125" s="75"/>
    </row>
    <row r="126" spans="9:9" s="55" customFormat="1" ht="14.4" customHeight="1">
      <c r="I126" s="75"/>
    </row>
    <row r="127" spans="9:9" s="55" customFormat="1" ht="14.4" customHeight="1">
      <c r="I127" s="75"/>
    </row>
    <row r="128" spans="9:9" s="55" customFormat="1" ht="14.4" customHeight="1">
      <c r="I128" s="75"/>
    </row>
    <row r="129" spans="9:9" s="55" customFormat="1" ht="14.4" customHeight="1">
      <c r="I129" s="75"/>
    </row>
    <row r="130" spans="9:9" s="55" customFormat="1" ht="14.4" customHeight="1">
      <c r="I130" s="75"/>
    </row>
    <row r="131" spans="9:9" s="55" customFormat="1" ht="14.4" customHeight="1">
      <c r="I131" s="75"/>
    </row>
    <row r="132" spans="9:9" s="55" customFormat="1" ht="14.4" customHeight="1">
      <c r="I132" s="75"/>
    </row>
    <row r="133" spans="9:9" s="55" customFormat="1" ht="14.4" customHeight="1">
      <c r="I133" s="75"/>
    </row>
    <row r="134" spans="9:9" s="55" customFormat="1" ht="14.4" customHeight="1">
      <c r="I134" s="75"/>
    </row>
    <row r="135" spans="9:9" s="55" customFormat="1" ht="14.4" customHeight="1">
      <c r="I135" s="75"/>
    </row>
    <row r="136" spans="9:9" s="55" customFormat="1" ht="14.4" customHeight="1">
      <c r="I136" s="75"/>
    </row>
    <row r="137" spans="9:9" s="55" customFormat="1" ht="14.4" customHeight="1">
      <c r="I137" s="75"/>
    </row>
    <row r="138" spans="9:9" s="55" customFormat="1" ht="14.4" customHeight="1">
      <c r="I138" s="75"/>
    </row>
    <row r="139" spans="9:9" s="55" customFormat="1" ht="14.4" customHeight="1">
      <c r="I139" s="75"/>
    </row>
    <row r="140" spans="9:9" s="55" customFormat="1" ht="14.4" customHeight="1">
      <c r="I140" s="75"/>
    </row>
    <row r="141" spans="9:9" s="55" customFormat="1" ht="14.4" customHeight="1">
      <c r="I141" s="75"/>
    </row>
    <row r="142" spans="9:9" s="55" customFormat="1" ht="14.4" customHeight="1">
      <c r="I142" s="75"/>
    </row>
    <row r="143" spans="9:9" s="55" customFormat="1" ht="14.4" customHeight="1">
      <c r="I143" s="75"/>
    </row>
    <row r="144" spans="9:9" s="55" customFormat="1" ht="14.4" customHeight="1">
      <c r="I144" s="75"/>
    </row>
    <row r="145" spans="9:9" s="55" customFormat="1" ht="14.4" customHeight="1">
      <c r="I145" s="75"/>
    </row>
    <row r="146" spans="9:9" s="55" customFormat="1" ht="14.4" customHeight="1">
      <c r="I146" s="75"/>
    </row>
    <row r="147" spans="9:9" s="55" customFormat="1" ht="14.4" customHeight="1">
      <c r="I147" s="75"/>
    </row>
    <row r="148" spans="9:9" s="55" customFormat="1" ht="14.4" customHeight="1">
      <c r="I148" s="75"/>
    </row>
    <row r="149" spans="9:9" s="55" customFormat="1" ht="14.4" customHeight="1">
      <c r="I149" s="75"/>
    </row>
    <row r="150" spans="9:9" s="55" customFormat="1" ht="14.4" customHeight="1">
      <c r="I150" s="75"/>
    </row>
    <row r="151" spans="9:9" s="55" customFormat="1" ht="14.4" customHeight="1">
      <c r="I151" s="75"/>
    </row>
    <row r="152" spans="9:9" s="55" customFormat="1" ht="14.4" customHeight="1">
      <c r="I152" s="75"/>
    </row>
    <row r="153" spans="9:9" s="55" customFormat="1" ht="14.4" customHeight="1">
      <c r="I153" s="75"/>
    </row>
    <row r="154" spans="9:9" s="55" customFormat="1" ht="14.4" customHeight="1">
      <c r="I154" s="75"/>
    </row>
    <row r="155" spans="9:9" s="55" customFormat="1" ht="14.4" customHeight="1">
      <c r="I155" s="75"/>
    </row>
    <row r="156" spans="9:9" s="55" customFormat="1" ht="14.4" customHeight="1">
      <c r="I156" s="75"/>
    </row>
    <row r="157" spans="9:9" s="55" customFormat="1" ht="14.4" customHeight="1">
      <c r="I157" s="75"/>
    </row>
    <row r="158" spans="9:9" s="55" customFormat="1" ht="14.4" customHeight="1">
      <c r="I158" s="75"/>
    </row>
    <row r="159" spans="9:9" s="55" customFormat="1" ht="14.4" customHeight="1">
      <c r="I159" s="75"/>
    </row>
    <row r="160" spans="9:9" s="55" customFormat="1" ht="14.4" customHeight="1">
      <c r="I160" s="75"/>
    </row>
    <row r="161" spans="9:9" s="55" customFormat="1" ht="14.4" customHeight="1">
      <c r="I161" s="75"/>
    </row>
    <row r="162" spans="9:9" s="55" customFormat="1" ht="14.4" customHeight="1">
      <c r="I162" s="75"/>
    </row>
    <row r="163" spans="9:9" s="55" customFormat="1" ht="14.4" customHeight="1">
      <c r="I163" s="75"/>
    </row>
    <row r="164" spans="9:9" s="55" customFormat="1" ht="14.4" customHeight="1">
      <c r="I164" s="75"/>
    </row>
    <row r="165" spans="9:9" s="55" customFormat="1" ht="14.4" customHeight="1">
      <c r="I165" s="75"/>
    </row>
    <row r="166" spans="9:9" s="55" customFormat="1" ht="14.4" customHeight="1">
      <c r="I166" s="75"/>
    </row>
    <row r="167" spans="9:9" s="55" customFormat="1" ht="14.4" customHeight="1">
      <c r="I167" s="75"/>
    </row>
    <row r="168" spans="9:9" s="55" customFormat="1" ht="14.4" customHeight="1">
      <c r="I168" s="75"/>
    </row>
    <row r="169" spans="9:9" s="55" customFormat="1" ht="14.4" customHeight="1">
      <c r="I169" s="75"/>
    </row>
    <row r="170" spans="9:9" s="55" customFormat="1" ht="14.4" customHeight="1">
      <c r="I170" s="75"/>
    </row>
    <row r="171" spans="9:9" s="55" customFormat="1" ht="14.4" customHeight="1">
      <c r="I171" s="75"/>
    </row>
    <row r="172" spans="9:9" s="55" customFormat="1" ht="14.4" customHeight="1">
      <c r="I172" s="75"/>
    </row>
    <row r="173" spans="9:9" s="55" customFormat="1" ht="14.4" customHeight="1">
      <c r="I173" s="75"/>
    </row>
    <row r="174" spans="9:9" s="55" customFormat="1" ht="14.4" customHeight="1">
      <c r="I174" s="75"/>
    </row>
    <row r="175" spans="9:9" s="55" customFormat="1" ht="14.4" customHeight="1">
      <c r="I175" s="75"/>
    </row>
    <row r="176" spans="9:9" s="55" customFormat="1" ht="14.4" customHeight="1">
      <c r="I176" s="75"/>
    </row>
    <row r="177" spans="9:9" s="55" customFormat="1" ht="14.4" customHeight="1">
      <c r="I177" s="75"/>
    </row>
    <row r="178" spans="9:9" s="55" customFormat="1" ht="14.4" customHeight="1">
      <c r="I178" s="75"/>
    </row>
    <row r="179" spans="9:9" s="55" customFormat="1" ht="14.4" customHeight="1">
      <c r="I179" s="75"/>
    </row>
    <row r="180" spans="9:9" s="55" customFormat="1" ht="14.4" customHeight="1">
      <c r="I180" s="75"/>
    </row>
    <row r="181" spans="9:9" s="55" customFormat="1" ht="14.4" customHeight="1">
      <c r="I181" s="75"/>
    </row>
    <row r="182" spans="9:9" s="55" customFormat="1" ht="14.4" customHeight="1">
      <c r="I182" s="75"/>
    </row>
    <row r="183" spans="9:9" s="55" customFormat="1" ht="14.4" customHeight="1">
      <c r="I183" s="75"/>
    </row>
    <row r="184" spans="9:9" s="55" customFormat="1" ht="14.4" customHeight="1">
      <c r="I184" s="75"/>
    </row>
    <row r="185" spans="9:9" s="55" customFormat="1" ht="14.4" customHeight="1">
      <c r="I185" s="75"/>
    </row>
    <row r="186" spans="9:9" s="55" customFormat="1" ht="14.4" customHeight="1">
      <c r="I186" s="75"/>
    </row>
    <row r="187" spans="9:9" s="55" customFormat="1" ht="14.4" customHeight="1">
      <c r="I187" s="75"/>
    </row>
    <row r="188" spans="9:9" s="55" customFormat="1" ht="14.4" customHeight="1">
      <c r="I188" s="75"/>
    </row>
    <row r="189" spans="9:9" s="55" customFormat="1" ht="14.4" customHeight="1">
      <c r="I189" s="75"/>
    </row>
    <row r="190" spans="9:9" s="55" customFormat="1" ht="14.4" customHeight="1">
      <c r="I190" s="75"/>
    </row>
    <row r="191" spans="9:9" s="55" customFormat="1" ht="14.4" customHeight="1">
      <c r="I191" s="75"/>
    </row>
    <row r="192" spans="9:9" s="55" customFormat="1" ht="14.4" customHeight="1">
      <c r="I192" s="75"/>
    </row>
    <row r="193" spans="9:9" s="55" customFormat="1" ht="14.4" customHeight="1">
      <c r="I193" s="75"/>
    </row>
    <row r="194" spans="9:9" s="55" customFormat="1" ht="14.4" customHeight="1">
      <c r="I194" s="75"/>
    </row>
    <row r="195" spans="9:9" s="55" customFormat="1" ht="14.4" customHeight="1">
      <c r="I195" s="75"/>
    </row>
    <row r="196" spans="9:9" s="55" customFormat="1" ht="14.4" customHeight="1">
      <c r="I196" s="75"/>
    </row>
    <row r="197" spans="9:9" s="55" customFormat="1" ht="14.4" customHeight="1">
      <c r="I197" s="75"/>
    </row>
    <row r="198" spans="9:9" s="55" customFormat="1" ht="14.4" customHeight="1">
      <c r="I198" s="75"/>
    </row>
    <row r="199" spans="9:9" s="55" customFormat="1" ht="14.4" customHeight="1">
      <c r="I199" s="75"/>
    </row>
    <row r="200" spans="9:9" s="55" customFormat="1" ht="14.4" customHeight="1">
      <c r="I200" s="75"/>
    </row>
    <row r="201" spans="9:9" s="55" customFormat="1" ht="14.4" customHeight="1">
      <c r="I201" s="75"/>
    </row>
    <row r="202" spans="9:9" s="55" customFormat="1" ht="14.4" customHeight="1">
      <c r="I202" s="75"/>
    </row>
    <row r="203" spans="9:9" s="55" customFormat="1" ht="14.4" customHeight="1">
      <c r="I203" s="75"/>
    </row>
    <row r="204" spans="9:9" s="55" customFormat="1" ht="14.4" customHeight="1">
      <c r="I204" s="75"/>
    </row>
    <row r="205" spans="9:9" s="55" customFormat="1" ht="14.4" customHeight="1">
      <c r="I205" s="75"/>
    </row>
    <row r="206" spans="9:9" s="55" customFormat="1" ht="14.4" customHeight="1">
      <c r="I206" s="75"/>
    </row>
    <row r="207" spans="9:9" s="55" customFormat="1" ht="14.4" customHeight="1">
      <c r="I207" s="75"/>
    </row>
    <row r="208" spans="9:9" s="55" customFormat="1" ht="14.4" customHeight="1">
      <c r="I208" s="75"/>
    </row>
    <row r="209" spans="9:9" s="55" customFormat="1" ht="14.4" customHeight="1">
      <c r="I209" s="75"/>
    </row>
    <row r="210" spans="9:9" s="55" customFormat="1" ht="14.4" customHeight="1">
      <c r="I210" s="75"/>
    </row>
    <row r="211" spans="9:9" s="55" customFormat="1" ht="14.4" customHeight="1">
      <c r="I211" s="75"/>
    </row>
    <row r="212" spans="9:9" s="55" customFormat="1" ht="14.4" customHeight="1">
      <c r="I212" s="75"/>
    </row>
    <row r="213" spans="9:9" s="55" customFormat="1" ht="14.4" customHeight="1">
      <c r="I213" s="75"/>
    </row>
    <row r="214" spans="9:9" s="55" customFormat="1" ht="14.4" customHeight="1">
      <c r="I214" s="75"/>
    </row>
    <row r="215" spans="9:9" s="55" customFormat="1" ht="14.4" customHeight="1">
      <c r="I215" s="75"/>
    </row>
    <row r="216" spans="9:9" s="55" customFormat="1" ht="14.4" customHeight="1">
      <c r="I216" s="75"/>
    </row>
    <row r="217" spans="9:9" s="55" customFormat="1" ht="14.4" customHeight="1">
      <c r="I217" s="75"/>
    </row>
    <row r="218" spans="9:9" s="55" customFormat="1" ht="14.4" customHeight="1">
      <c r="I218" s="75"/>
    </row>
    <row r="219" spans="9:9" s="55" customFormat="1" ht="14.4" customHeight="1">
      <c r="I219" s="75"/>
    </row>
    <row r="220" spans="9:9" s="55" customFormat="1" ht="14.4" customHeight="1">
      <c r="I220" s="75"/>
    </row>
    <row r="221" spans="9:9" s="55" customFormat="1" ht="14.4" customHeight="1">
      <c r="I221" s="75"/>
    </row>
    <row r="222" spans="9:9" s="55" customFormat="1" ht="14.4" customHeight="1">
      <c r="I222" s="75"/>
    </row>
    <row r="223" spans="9:9" s="55" customFormat="1" ht="14.4" customHeight="1">
      <c r="I223" s="75"/>
    </row>
    <row r="224" spans="9:9" s="55" customFormat="1" ht="14.4" customHeight="1">
      <c r="I224" s="75"/>
    </row>
    <row r="225" spans="9:9" s="55" customFormat="1" ht="14.4" customHeight="1">
      <c r="I225" s="75"/>
    </row>
    <row r="226" spans="9:9" s="55" customFormat="1" ht="14.4" customHeight="1">
      <c r="I226" s="75"/>
    </row>
    <row r="227" spans="9:9" s="55" customFormat="1" ht="14.4" customHeight="1">
      <c r="I227" s="75"/>
    </row>
    <row r="228" spans="9:9" s="55" customFormat="1" ht="14.4" customHeight="1">
      <c r="I228" s="75"/>
    </row>
    <row r="229" spans="9:9" s="55" customFormat="1" ht="14.4" customHeight="1">
      <c r="I229" s="75"/>
    </row>
    <row r="230" spans="9:9" s="55" customFormat="1" ht="14.4" customHeight="1">
      <c r="I230" s="75"/>
    </row>
    <row r="231" spans="9:9" s="55" customFormat="1" ht="14.4" customHeight="1">
      <c r="I231" s="75"/>
    </row>
    <row r="232" spans="9:9" s="55" customFormat="1" ht="14.4" customHeight="1">
      <c r="I232" s="75"/>
    </row>
    <row r="233" spans="9:9" s="55" customFormat="1" ht="14.4" customHeight="1">
      <c r="I233" s="75"/>
    </row>
    <row r="234" spans="9:9" s="55" customFormat="1" ht="14.4" customHeight="1">
      <c r="I234" s="75"/>
    </row>
    <row r="235" spans="9:9" s="55" customFormat="1" ht="14.4" customHeight="1">
      <c r="I235" s="75"/>
    </row>
    <row r="236" spans="9:9" s="55" customFormat="1" ht="14.4" customHeight="1">
      <c r="I236" s="75"/>
    </row>
    <row r="237" spans="9:9" s="55" customFormat="1" ht="14.4" customHeight="1">
      <c r="I237" s="75"/>
    </row>
    <row r="238" spans="9:9" s="55" customFormat="1" ht="14.4" customHeight="1">
      <c r="I238" s="75"/>
    </row>
    <row r="239" spans="9:9" s="55" customFormat="1" ht="14.4" customHeight="1">
      <c r="I239" s="75"/>
    </row>
    <row r="240" spans="9:9" s="55" customFormat="1" ht="14.4" customHeight="1">
      <c r="I240" s="75"/>
    </row>
    <row r="241" spans="9:9" s="55" customFormat="1" ht="14.4" customHeight="1">
      <c r="I241" s="75"/>
    </row>
    <row r="242" spans="9:9" s="55" customFormat="1" ht="14.4" customHeight="1">
      <c r="I242" s="75"/>
    </row>
    <row r="243" spans="9:9" s="55" customFormat="1" ht="14.4" customHeight="1">
      <c r="I243" s="75"/>
    </row>
    <row r="244" spans="9:9" s="55" customFormat="1" ht="14.4" customHeight="1">
      <c r="I244" s="75"/>
    </row>
    <row r="245" spans="9:9" s="55" customFormat="1" ht="14.4" customHeight="1">
      <c r="I245" s="75"/>
    </row>
    <row r="246" spans="9:9" s="55" customFormat="1" ht="14.4" customHeight="1">
      <c r="I246" s="75"/>
    </row>
    <row r="247" spans="9:9" s="55" customFormat="1" ht="14.4" customHeight="1">
      <c r="I247" s="75"/>
    </row>
    <row r="248" spans="9:9" s="55" customFormat="1" ht="14.4" customHeight="1">
      <c r="I248" s="75"/>
    </row>
    <row r="249" spans="9:9" s="55" customFormat="1" ht="14.4" customHeight="1">
      <c r="I249" s="75"/>
    </row>
    <row r="250" spans="9:9" s="55" customFormat="1" ht="14.4" customHeight="1">
      <c r="I250" s="75"/>
    </row>
    <row r="251" spans="9:9" s="55" customFormat="1" ht="14.4" customHeight="1">
      <c r="I251" s="75"/>
    </row>
    <row r="252" spans="9:9" s="55" customFormat="1" ht="14.4" customHeight="1">
      <c r="I252" s="75"/>
    </row>
    <row r="253" spans="9:9" s="55" customFormat="1" ht="14.4" customHeight="1">
      <c r="I253" s="75"/>
    </row>
    <row r="254" spans="9:9" s="55" customFormat="1" ht="14.4" customHeight="1">
      <c r="I254" s="75"/>
    </row>
    <row r="255" spans="9:9" s="55" customFormat="1" ht="14.4" customHeight="1">
      <c r="I255" s="75"/>
    </row>
    <row r="256" spans="9:9" s="55" customFormat="1" ht="14.4" customHeight="1">
      <c r="I256" s="75"/>
    </row>
    <row r="257" spans="9:9" s="55" customFormat="1" ht="14.4" customHeight="1">
      <c r="I257" s="75"/>
    </row>
    <row r="258" spans="9:9" s="55" customFormat="1" ht="14.4" customHeight="1">
      <c r="I258" s="75"/>
    </row>
    <row r="259" spans="9:9" s="55" customFormat="1" ht="14.4" customHeight="1">
      <c r="I259" s="75"/>
    </row>
    <row r="260" spans="9:9" s="55" customFormat="1" ht="14.4" customHeight="1">
      <c r="I260" s="75"/>
    </row>
    <row r="261" spans="9:9" s="55" customFormat="1" ht="14.4" customHeight="1">
      <c r="I261" s="75"/>
    </row>
    <row r="262" spans="9:9" s="55" customFormat="1" ht="14.4" customHeight="1">
      <c r="I262" s="75"/>
    </row>
    <row r="263" spans="9:9" s="55" customFormat="1" ht="14.4" customHeight="1">
      <c r="I263" s="75"/>
    </row>
    <row r="264" spans="9:9" s="55" customFormat="1" ht="14.4" customHeight="1">
      <c r="I264" s="75"/>
    </row>
    <row r="265" spans="9:9" s="55" customFormat="1" ht="14.4" customHeight="1">
      <c r="I265" s="75"/>
    </row>
    <row r="266" spans="9:9" s="55" customFormat="1" ht="14.4" customHeight="1">
      <c r="I266" s="75"/>
    </row>
    <row r="267" spans="9:9" s="55" customFormat="1" ht="14.4" customHeight="1">
      <c r="I267" s="75"/>
    </row>
    <row r="268" spans="9:9" s="55" customFormat="1" ht="14.4" customHeight="1">
      <c r="I268" s="75"/>
    </row>
    <row r="269" spans="9:9" s="55" customFormat="1" ht="14.4" customHeight="1">
      <c r="I269" s="75"/>
    </row>
    <row r="270" spans="9:9" s="55" customFormat="1" ht="14.4" customHeight="1">
      <c r="I270" s="75"/>
    </row>
    <row r="271" spans="9:9" s="55" customFormat="1" ht="14.4" customHeight="1">
      <c r="I271" s="75"/>
    </row>
    <row r="272" spans="9:9" s="55" customFormat="1" ht="14.4" customHeight="1">
      <c r="I272" s="75"/>
    </row>
    <row r="273" spans="9:9" s="55" customFormat="1" ht="14.4" customHeight="1">
      <c r="I273" s="75"/>
    </row>
    <row r="274" spans="9:9" s="55" customFormat="1" ht="14.4" customHeight="1">
      <c r="I274" s="75"/>
    </row>
    <row r="275" spans="9:9" s="55" customFormat="1" ht="14.4" customHeight="1">
      <c r="I275" s="75"/>
    </row>
    <row r="276" spans="9:9" s="55" customFormat="1" ht="14.4" customHeight="1">
      <c r="I276" s="75"/>
    </row>
    <row r="277" spans="9:9" s="55" customFormat="1" ht="14.4" customHeight="1">
      <c r="I277" s="75"/>
    </row>
    <row r="278" spans="9:9" s="55" customFormat="1" ht="14.4" customHeight="1">
      <c r="I278" s="75"/>
    </row>
    <row r="279" spans="9:9" s="55" customFormat="1" ht="14.4" customHeight="1">
      <c r="I279" s="75"/>
    </row>
    <row r="280" spans="9:9" s="55" customFormat="1" ht="14.4" customHeight="1">
      <c r="I280" s="75"/>
    </row>
    <row r="281" spans="9:9" s="55" customFormat="1" ht="14.4" customHeight="1">
      <c r="I281" s="75"/>
    </row>
    <row r="282" spans="9:9" s="55" customFormat="1" ht="14.4" customHeight="1">
      <c r="I282" s="75"/>
    </row>
    <row r="283" spans="9:9" s="55" customFormat="1" ht="14.4" customHeight="1">
      <c r="I283" s="75"/>
    </row>
    <row r="284" spans="9:9" s="55" customFormat="1" ht="14.4" customHeight="1">
      <c r="I284" s="75"/>
    </row>
    <row r="285" spans="9:9" s="55" customFormat="1" ht="14.4" customHeight="1">
      <c r="I285" s="75"/>
    </row>
    <row r="286" spans="9:9" s="55" customFormat="1" ht="14.4" customHeight="1">
      <c r="I286" s="75"/>
    </row>
    <row r="287" spans="9:9" s="55" customFormat="1" ht="14.4" customHeight="1">
      <c r="I287" s="75"/>
    </row>
    <row r="288" spans="9:9" s="55" customFormat="1" ht="14.4" customHeight="1">
      <c r="I288" s="75"/>
    </row>
    <row r="289" spans="9:9" s="55" customFormat="1" ht="14.4" customHeight="1">
      <c r="I289" s="75"/>
    </row>
    <row r="290" spans="9:9" s="55" customFormat="1" ht="14.4" customHeight="1">
      <c r="I290" s="75"/>
    </row>
    <row r="291" spans="9:9" s="55" customFormat="1" ht="14.4" customHeight="1">
      <c r="I291" s="75"/>
    </row>
    <row r="292" spans="9:9" s="55" customFormat="1" ht="14.4" customHeight="1">
      <c r="I292" s="75"/>
    </row>
    <row r="293" spans="9:9" s="55" customFormat="1" ht="14.4" customHeight="1">
      <c r="I293" s="75"/>
    </row>
    <row r="294" spans="9:9" s="55" customFormat="1" ht="14.4" customHeight="1">
      <c r="I294" s="75"/>
    </row>
    <row r="295" spans="9:9" s="55" customFormat="1" ht="14.4" customHeight="1">
      <c r="I295" s="75"/>
    </row>
    <row r="296" spans="9:9" s="55" customFormat="1" ht="14.4" customHeight="1">
      <c r="I296" s="75"/>
    </row>
    <row r="297" spans="9:9" s="55" customFormat="1" ht="14.4" customHeight="1">
      <c r="I297" s="75"/>
    </row>
    <row r="298" spans="9:9" s="55" customFormat="1" ht="14.4" customHeight="1">
      <c r="I298" s="75"/>
    </row>
    <row r="299" spans="9:9" s="55" customFormat="1" ht="14.4" customHeight="1">
      <c r="I299" s="75"/>
    </row>
    <row r="300" spans="9:9" s="55" customFormat="1" ht="14.4" customHeight="1">
      <c r="I300" s="75"/>
    </row>
    <row r="301" spans="9:9" s="55" customFormat="1" ht="14.4" customHeight="1">
      <c r="I301" s="75"/>
    </row>
    <row r="302" spans="9:9" s="55" customFormat="1" ht="14.4" customHeight="1">
      <c r="I302" s="75"/>
    </row>
    <row r="303" spans="9:9" s="55" customFormat="1" ht="14.4" customHeight="1">
      <c r="I303" s="75"/>
    </row>
    <row r="304" spans="9:9" s="55" customFormat="1" ht="14.4" customHeight="1">
      <c r="I304" s="75"/>
    </row>
    <row r="305" spans="9:9" s="55" customFormat="1" ht="14.4" customHeight="1">
      <c r="I305" s="75"/>
    </row>
    <row r="306" spans="9:9" s="55" customFormat="1" ht="14.4" customHeight="1">
      <c r="I306" s="75"/>
    </row>
    <row r="307" spans="9:9" s="55" customFormat="1" ht="14.4" customHeight="1">
      <c r="I307" s="75"/>
    </row>
    <row r="308" spans="9:9" s="55" customFormat="1" ht="14.4" customHeight="1">
      <c r="I308" s="75"/>
    </row>
    <row r="309" spans="9:9" s="55" customFormat="1" ht="14.4" customHeight="1">
      <c r="I309" s="75"/>
    </row>
    <row r="310" spans="9:9" s="55" customFormat="1" ht="14.4" customHeight="1">
      <c r="I310" s="75"/>
    </row>
    <row r="311" spans="9:9" s="55" customFormat="1" ht="14.4" customHeight="1">
      <c r="I311" s="75"/>
    </row>
    <row r="312" spans="9:9" s="55" customFormat="1" ht="14.4" customHeight="1">
      <c r="I312" s="75"/>
    </row>
    <row r="313" spans="9:9" s="55" customFormat="1" ht="14.4" customHeight="1">
      <c r="I313" s="75"/>
    </row>
    <row r="314" spans="9:9" s="55" customFormat="1" ht="14.4" customHeight="1">
      <c r="I314" s="75"/>
    </row>
    <row r="315" spans="9:9" s="55" customFormat="1" ht="14.4" customHeight="1">
      <c r="I315" s="75"/>
    </row>
    <row r="316" spans="9:9" s="55" customFormat="1" ht="14.4" customHeight="1">
      <c r="I316" s="75"/>
    </row>
    <row r="317" spans="9:9" s="55" customFormat="1" ht="14.4" customHeight="1">
      <c r="I317" s="75"/>
    </row>
    <row r="318" spans="9:9" s="55" customFormat="1" ht="14.4" customHeight="1">
      <c r="I318" s="75"/>
    </row>
    <row r="319" spans="9:9" s="55" customFormat="1" ht="14.4" customHeight="1">
      <c r="I319" s="75"/>
    </row>
    <row r="320" spans="9:9" s="55" customFormat="1" ht="14.4" customHeight="1">
      <c r="I320" s="75"/>
    </row>
    <row r="321" spans="9:9" s="55" customFormat="1" ht="14.4" customHeight="1">
      <c r="I321" s="75"/>
    </row>
    <row r="322" spans="9:9" s="55" customFormat="1" ht="14.4" customHeight="1">
      <c r="I322" s="75"/>
    </row>
    <row r="323" spans="9:9" s="55" customFormat="1" ht="14.4" customHeight="1">
      <c r="I323" s="75"/>
    </row>
    <row r="324" spans="9:9" s="55" customFormat="1" ht="14.4" customHeight="1">
      <c r="I324" s="75"/>
    </row>
    <row r="325" spans="9:9" s="55" customFormat="1" ht="14.4" customHeight="1">
      <c r="I325" s="75"/>
    </row>
    <row r="326" spans="9:9" s="55" customFormat="1" ht="14.4" customHeight="1">
      <c r="I326" s="75"/>
    </row>
    <row r="327" spans="9:9" s="55" customFormat="1" ht="14.4" customHeight="1">
      <c r="I327" s="75"/>
    </row>
    <row r="328" spans="9:9" s="55" customFormat="1" ht="14.4" customHeight="1">
      <c r="I328" s="75"/>
    </row>
    <row r="329" spans="9:9" s="55" customFormat="1" ht="14.4" customHeight="1">
      <c r="I329" s="75"/>
    </row>
    <row r="330" spans="9:9" s="55" customFormat="1" ht="14.4" customHeight="1">
      <c r="I330" s="75"/>
    </row>
    <row r="331" spans="9:9" s="55" customFormat="1" ht="14.4" customHeight="1">
      <c r="I331" s="75"/>
    </row>
    <row r="332" spans="9:9" s="55" customFormat="1" ht="14.4" customHeight="1">
      <c r="I332" s="75"/>
    </row>
    <row r="333" spans="9:9" s="55" customFormat="1" ht="14.4" customHeight="1">
      <c r="I333" s="75"/>
    </row>
    <row r="334" spans="9:9" s="55" customFormat="1" ht="14.4" customHeight="1">
      <c r="I334" s="75"/>
    </row>
    <row r="335" spans="9:9" s="55" customFormat="1" ht="14.4" customHeight="1">
      <c r="I335" s="75"/>
    </row>
    <row r="336" spans="9:9" s="55" customFormat="1" ht="14.4" customHeight="1">
      <c r="I336" s="75"/>
    </row>
    <row r="337" spans="9:9" s="55" customFormat="1" ht="14.4" customHeight="1">
      <c r="I337" s="75"/>
    </row>
    <row r="338" spans="9:9" s="55" customFormat="1" ht="14.4" customHeight="1">
      <c r="I338" s="75"/>
    </row>
    <row r="339" spans="9:9" s="55" customFormat="1" ht="14.4" customHeight="1">
      <c r="I339" s="75"/>
    </row>
    <row r="340" spans="9:9" s="55" customFormat="1" ht="14.4" customHeight="1">
      <c r="I340" s="75"/>
    </row>
    <row r="341" spans="9:9" s="55" customFormat="1" ht="14.4" customHeight="1">
      <c r="I341" s="75"/>
    </row>
    <row r="342" spans="9:9" s="55" customFormat="1" ht="14.4" customHeight="1">
      <c r="I342" s="75"/>
    </row>
    <row r="343" spans="9:9" s="55" customFormat="1" ht="14.4" customHeight="1">
      <c r="I343" s="75"/>
    </row>
    <row r="344" spans="9:9" s="55" customFormat="1" ht="14.4" customHeight="1">
      <c r="I344" s="75"/>
    </row>
    <row r="345" spans="9:9" s="55" customFormat="1" ht="14.4" customHeight="1">
      <c r="I345" s="75"/>
    </row>
    <row r="346" spans="9:9" s="55" customFormat="1" ht="14.4" customHeight="1">
      <c r="I346" s="75"/>
    </row>
    <row r="347" spans="9:9" s="55" customFormat="1" ht="14.4" customHeight="1">
      <c r="I347" s="75"/>
    </row>
    <row r="348" spans="9:9" s="55" customFormat="1" ht="14.4" customHeight="1">
      <c r="I348" s="75"/>
    </row>
    <row r="349" spans="9:9" s="55" customFormat="1" ht="14.4" customHeight="1">
      <c r="I349" s="75"/>
    </row>
    <row r="350" spans="9:9" s="55" customFormat="1" ht="14.4" customHeight="1">
      <c r="I350" s="75"/>
    </row>
    <row r="351" spans="9:9" s="55" customFormat="1" ht="14.4" customHeight="1">
      <c r="I351" s="75"/>
    </row>
    <row r="352" spans="9:9" s="55" customFormat="1" ht="14.4" customHeight="1">
      <c r="I352" s="75"/>
    </row>
    <row r="353" spans="9:9" s="55" customFormat="1" ht="14.4" customHeight="1">
      <c r="I353" s="75"/>
    </row>
    <row r="354" spans="9:9" s="55" customFormat="1" ht="14.4" customHeight="1">
      <c r="I354" s="75"/>
    </row>
    <row r="355" spans="9:9" s="55" customFormat="1" ht="14.4" customHeight="1">
      <c r="I355" s="75"/>
    </row>
    <row r="356" spans="9:9" s="55" customFormat="1" ht="14.4" customHeight="1">
      <c r="I356" s="75"/>
    </row>
    <row r="357" spans="9:9" s="55" customFormat="1" ht="14.4" customHeight="1">
      <c r="I357" s="75"/>
    </row>
    <row r="358" spans="9:9" s="55" customFormat="1" ht="14.4" customHeight="1">
      <c r="I358" s="75"/>
    </row>
    <row r="359" spans="9:9" s="55" customFormat="1" ht="14.4" customHeight="1">
      <c r="I359" s="75"/>
    </row>
    <row r="360" spans="9:9" s="55" customFormat="1" ht="14.4" customHeight="1">
      <c r="I360" s="75"/>
    </row>
    <row r="361" spans="9:9" s="55" customFormat="1" ht="14.4" customHeight="1">
      <c r="I361" s="75"/>
    </row>
    <row r="362" spans="9:9" s="55" customFormat="1" ht="14.4" customHeight="1">
      <c r="I362" s="75"/>
    </row>
    <row r="363" spans="9:9" s="55" customFormat="1" ht="14.4" customHeight="1">
      <c r="I363" s="75"/>
    </row>
    <row r="364" spans="9:9" s="55" customFormat="1" ht="14.4" customHeight="1">
      <c r="I364" s="75"/>
    </row>
    <row r="365" spans="9:9" s="55" customFormat="1" ht="14.4" customHeight="1">
      <c r="I365" s="75"/>
    </row>
    <row r="366" spans="9:9" s="55" customFormat="1" ht="14.4" customHeight="1">
      <c r="I366" s="75"/>
    </row>
    <row r="367" spans="9:9" s="55" customFormat="1" ht="14.4" customHeight="1">
      <c r="I367" s="75"/>
    </row>
    <row r="368" spans="9:9" s="55" customFormat="1" ht="14.4" customHeight="1">
      <c r="I368" s="75"/>
    </row>
    <row r="369" spans="9:9" s="55" customFormat="1" ht="14.4" customHeight="1">
      <c r="I369" s="75"/>
    </row>
    <row r="370" spans="9:9" s="55" customFormat="1" ht="14.4" customHeight="1">
      <c r="I370" s="75"/>
    </row>
    <row r="371" spans="9:9" s="55" customFormat="1" ht="14.4" customHeight="1">
      <c r="I371" s="75"/>
    </row>
    <row r="372" spans="9:9" s="55" customFormat="1" ht="14.4" customHeight="1">
      <c r="I372" s="75"/>
    </row>
    <row r="373" spans="9:9" s="55" customFormat="1" ht="14.4" customHeight="1">
      <c r="I373" s="75"/>
    </row>
    <row r="374" spans="9:9" s="55" customFormat="1" ht="14.4" customHeight="1">
      <c r="I374" s="75"/>
    </row>
    <row r="375" spans="9:9" s="55" customFormat="1" ht="14.4" customHeight="1">
      <c r="I375" s="75"/>
    </row>
    <row r="376" spans="9:9" s="55" customFormat="1" ht="14.4" customHeight="1">
      <c r="I376" s="75"/>
    </row>
    <row r="377" spans="9:9" s="55" customFormat="1" ht="14.4" customHeight="1">
      <c r="I377" s="75"/>
    </row>
    <row r="378" spans="9:9" s="55" customFormat="1" ht="14.4" customHeight="1">
      <c r="I378" s="75"/>
    </row>
    <row r="379" spans="9:9" s="55" customFormat="1" ht="14.4" customHeight="1">
      <c r="I379" s="75"/>
    </row>
    <row r="380" spans="9:9" s="55" customFormat="1" ht="14.4" customHeight="1">
      <c r="I380" s="75"/>
    </row>
    <row r="381" spans="9:9" s="55" customFormat="1" ht="14.4" customHeight="1">
      <c r="I381" s="75"/>
    </row>
    <row r="382" spans="9:9" s="55" customFormat="1" ht="14.4" customHeight="1">
      <c r="I382" s="75"/>
    </row>
    <row r="383" spans="9:9" s="55" customFormat="1" ht="14.4" customHeight="1">
      <c r="I383" s="75"/>
    </row>
    <row r="384" spans="9:9" s="55" customFormat="1" ht="14.4" customHeight="1">
      <c r="I384" s="75"/>
    </row>
    <row r="385" spans="9:9" s="55" customFormat="1" ht="14.4" customHeight="1">
      <c r="I385" s="75"/>
    </row>
    <row r="386" spans="9:9" s="55" customFormat="1" ht="14.4" customHeight="1">
      <c r="I386" s="75"/>
    </row>
    <row r="387" spans="9:9" s="55" customFormat="1" ht="14.4" customHeight="1">
      <c r="I387" s="75"/>
    </row>
    <row r="388" spans="9:9" s="55" customFormat="1" ht="14.4" customHeight="1">
      <c r="I388" s="75"/>
    </row>
    <row r="389" spans="9:9" s="55" customFormat="1" ht="14.4" customHeight="1">
      <c r="I389" s="75"/>
    </row>
    <row r="390" spans="9:9" s="55" customFormat="1" ht="14.4" customHeight="1">
      <c r="I390" s="75"/>
    </row>
    <row r="391" spans="9:9" s="55" customFormat="1" ht="14.4" customHeight="1">
      <c r="I391" s="75"/>
    </row>
    <row r="392" spans="9:9" s="55" customFormat="1" ht="14.4" customHeight="1">
      <c r="I392" s="75"/>
    </row>
    <row r="393" spans="9:9" s="55" customFormat="1" ht="14.4" customHeight="1">
      <c r="I393" s="75"/>
    </row>
    <row r="394" spans="9:9" s="55" customFormat="1" ht="14.4" customHeight="1">
      <c r="I394" s="75"/>
    </row>
    <row r="395" spans="9:9" s="55" customFormat="1" ht="14.4" customHeight="1">
      <c r="I395" s="75"/>
    </row>
    <row r="396" spans="9:9" s="55" customFormat="1" ht="14.4" customHeight="1">
      <c r="I396" s="75"/>
    </row>
    <row r="397" spans="9:9" s="55" customFormat="1" ht="14.4" customHeight="1">
      <c r="I397" s="75"/>
    </row>
    <row r="398" spans="9:9" s="55" customFormat="1" ht="14.4" customHeight="1">
      <c r="I398" s="75"/>
    </row>
    <row r="399" spans="9:9" s="55" customFormat="1" ht="14.4" customHeight="1">
      <c r="I399" s="75"/>
    </row>
    <row r="400" spans="9:9" s="55" customFormat="1" ht="14.4" customHeight="1">
      <c r="I400" s="75"/>
    </row>
    <row r="401" spans="9:9" s="55" customFormat="1" ht="14.4" customHeight="1">
      <c r="I401" s="75"/>
    </row>
    <row r="402" spans="9:9" s="55" customFormat="1" ht="14.4" customHeight="1">
      <c r="I402" s="75"/>
    </row>
    <row r="403" spans="9:9" s="55" customFormat="1" ht="14.4" customHeight="1">
      <c r="I403" s="75"/>
    </row>
    <row r="404" spans="9:9" s="55" customFormat="1" ht="14.4" customHeight="1">
      <c r="I404" s="75"/>
    </row>
    <row r="405" spans="9:9" s="55" customFormat="1" ht="14.4" customHeight="1">
      <c r="I405" s="75"/>
    </row>
    <row r="406" spans="9:9" s="55" customFormat="1" ht="14.4" customHeight="1">
      <c r="I406" s="75"/>
    </row>
    <row r="407" spans="9:9" s="55" customFormat="1" ht="14.4" customHeight="1">
      <c r="I407" s="75"/>
    </row>
    <row r="408" spans="9:9" s="55" customFormat="1" ht="14.4" customHeight="1">
      <c r="I408" s="75"/>
    </row>
    <row r="409" spans="9:9" s="55" customFormat="1" ht="14.4" customHeight="1">
      <c r="I409" s="75"/>
    </row>
    <row r="410" spans="9:9" s="55" customFormat="1" ht="14.4" customHeight="1">
      <c r="I410" s="75"/>
    </row>
    <row r="411" spans="9:9" s="55" customFormat="1" ht="14.4" customHeight="1">
      <c r="I411" s="75"/>
    </row>
    <row r="412" spans="9:9" s="55" customFormat="1" ht="14.4" customHeight="1">
      <c r="I412" s="75"/>
    </row>
    <row r="413" spans="9:9" s="55" customFormat="1" ht="14.4" customHeight="1">
      <c r="I413" s="75"/>
    </row>
    <row r="414" spans="9:9" s="55" customFormat="1" ht="14.4" customHeight="1">
      <c r="I414" s="75"/>
    </row>
    <row r="415" spans="9:9" s="55" customFormat="1" ht="14.4" customHeight="1">
      <c r="I415" s="75"/>
    </row>
    <row r="416" spans="9:9" s="55" customFormat="1" ht="14.4" customHeight="1">
      <c r="I416" s="75"/>
    </row>
    <row r="417" spans="9:9" s="55" customFormat="1" ht="14.4" customHeight="1">
      <c r="I417" s="75"/>
    </row>
    <row r="418" spans="9:9" s="55" customFormat="1" ht="14.4" customHeight="1">
      <c r="I418" s="75"/>
    </row>
    <row r="419" spans="9:9" s="55" customFormat="1" ht="14.4" customHeight="1">
      <c r="I419" s="75"/>
    </row>
    <row r="420" spans="9:9" s="55" customFormat="1" ht="14.4" customHeight="1">
      <c r="I420" s="75"/>
    </row>
    <row r="421" spans="9:9" s="55" customFormat="1" ht="14.4" customHeight="1">
      <c r="I421" s="75"/>
    </row>
    <row r="422" spans="9:9" s="55" customFormat="1" ht="14.4" customHeight="1">
      <c r="I422" s="75"/>
    </row>
    <row r="423" spans="9:9" s="55" customFormat="1" ht="14.4" customHeight="1">
      <c r="I423" s="75"/>
    </row>
    <row r="424" spans="9:9" s="55" customFormat="1" ht="14.4" customHeight="1">
      <c r="I424" s="75"/>
    </row>
    <row r="425" spans="9:9" s="55" customFormat="1" ht="14.4" customHeight="1">
      <c r="I425" s="75"/>
    </row>
    <row r="426" spans="9:9" s="55" customFormat="1" ht="14.4" customHeight="1">
      <c r="I426" s="75"/>
    </row>
    <row r="427" spans="9:9" s="55" customFormat="1" ht="14.4" customHeight="1">
      <c r="I427" s="75"/>
    </row>
    <row r="428" spans="9:9" s="55" customFormat="1" ht="14.4" customHeight="1">
      <c r="I428" s="75"/>
    </row>
    <row r="429" spans="9:9" s="55" customFormat="1" ht="14.4" customHeight="1">
      <c r="I429" s="75"/>
    </row>
    <row r="430" spans="9:9" s="55" customFormat="1" ht="14.4" customHeight="1">
      <c r="I430" s="75"/>
    </row>
    <row r="431" spans="9:9" s="55" customFormat="1" ht="14.4" customHeight="1">
      <c r="I431" s="75"/>
    </row>
    <row r="432" spans="9:9" s="55" customFormat="1" ht="14.4" customHeight="1">
      <c r="I432" s="75"/>
    </row>
    <row r="433" spans="9:9" s="55" customFormat="1" ht="14.4" customHeight="1">
      <c r="I433" s="75"/>
    </row>
    <row r="434" spans="9:9" s="55" customFormat="1" ht="14.4" customHeight="1">
      <c r="I434" s="75"/>
    </row>
    <row r="435" spans="9:9" s="55" customFormat="1" ht="14.4" customHeight="1">
      <c r="I435" s="75"/>
    </row>
    <row r="436" spans="9:9" s="55" customFormat="1" ht="14.4" customHeight="1">
      <c r="I436" s="75"/>
    </row>
    <row r="437" spans="9:9" s="55" customFormat="1" ht="14.4" customHeight="1">
      <c r="I437" s="75"/>
    </row>
    <row r="438" spans="9:9" s="55" customFormat="1" ht="14.4" customHeight="1">
      <c r="I438" s="75"/>
    </row>
    <row r="439" spans="9:9" s="55" customFormat="1" ht="14.4" customHeight="1">
      <c r="I439" s="75"/>
    </row>
    <row r="440" spans="9:9" s="55" customFormat="1" ht="14.4" customHeight="1">
      <c r="I440" s="75"/>
    </row>
    <row r="441" spans="9:9" s="55" customFormat="1" ht="14.4" customHeight="1">
      <c r="I441" s="75"/>
    </row>
    <row r="442" spans="9:9" s="55" customFormat="1" ht="14.4" customHeight="1">
      <c r="I442" s="75"/>
    </row>
    <row r="443" spans="9:9" s="55" customFormat="1" ht="14.4" customHeight="1">
      <c r="I443" s="75"/>
    </row>
    <row r="444" spans="9:9" s="55" customFormat="1" ht="14.4" customHeight="1">
      <c r="I444" s="75"/>
    </row>
    <row r="445" spans="9:9" s="55" customFormat="1" ht="14.4" customHeight="1">
      <c r="I445" s="75"/>
    </row>
    <row r="446" spans="9:9" s="55" customFormat="1" ht="14.4" customHeight="1">
      <c r="I446" s="75"/>
    </row>
    <row r="447" spans="9:9" s="55" customFormat="1" ht="14.4" customHeight="1">
      <c r="I447" s="75"/>
    </row>
    <row r="448" spans="9:9" s="55" customFormat="1" ht="14.4" customHeight="1">
      <c r="I448" s="75"/>
    </row>
    <row r="449" spans="9:9" s="55" customFormat="1" ht="14.4" customHeight="1">
      <c r="I449" s="75"/>
    </row>
    <row r="450" spans="9:9" s="55" customFormat="1" ht="14.4" customHeight="1">
      <c r="I450" s="75"/>
    </row>
    <row r="451" spans="9:9" s="55" customFormat="1" ht="14.4" customHeight="1">
      <c r="I451" s="75"/>
    </row>
    <row r="452" spans="9:9" s="55" customFormat="1" ht="14.4" customHeight="1">
      <c r="I452" s="75"/>
    </row>
    <row r="453" spans="9:9" s="55" customFormat="1" ht="14.4" customHeight="1">
      <c r="I453" s="75"/>
    </row>
    <row r="454" spans="9:9" s="55" customFormat="1" ht="14.4" customHeight="1">
      <c r="I454" s="75"/>
    </row>
    <row r="455" spans="9:9" s="55" customFormat="1" ht="14.4" customHeight="1">
      <c r="I455" s="75"/>
    </row>
    <row r="456" spans="9:9" s="55" customFormat="1" ht="14.4" customHeight="1">
      <c r="I456" s="75"/>
    </row>
    <row r="457" spans="9:9" s="55" customFormat="1" ht="14.4" customHeight="1">
      <c r="I457" s="75"/>
    </row>
    <row r="458" spans="9:9" s="55" customFormat="1" ht="14.4" customHeight="1">
      <c r="I458" s="75"/>
    </row>
    <row r="459" spans="9:9" s="55" customFormat="1" ht="14.4" customHeight="1">
      <c r="I459" s="75"/>
    </row>
    <row r="460" spans="9:9" s="55" customFormat="1" ht="14.4" customHeight="1">
      <c r="I460" s="75"/>
    </row>
    <row r="461" spans="9:9" s="55" customFormat="1" ht="14.4" customHeight="1">
      <c r="I461" s="75"/>
    </row>
    <row r="462" spans="9:9" s="55" customFormat="1" ht="14.4" customHeight="1">
      <c r="I462" s="75"/>
    </row>
    <row r="463" spans="9:9" s="55" customFormat="1" ht="14.4" customHeight="1">
      <c r="I463" s="75"/>
    </row>
    <row r="464" spans="9:9" s="55" customFormat="1" ht="14.4" customHeight="1">
      <c r="I464" s="75"/>
    </row>
    <row r="465" spans="9:9" s="55" customFormat="1" ht="14.4" customHeight="1">
      <c r="I465" s="75"/>
    </row>
    <row r="466" spans="9:9" s="55" customFormat="1" ht="14.4" customHeight="1">
      <c r="I466" s="75"/>
    </row>
    <row r="467" spans="9:9" s="55" customFormat="1" ht="14.4" customHeight="1">
      <c r="I467" s="75"/>
    </row>
    <row r="468" spans="9:9" s="55" customFormat="1" ht="14.4" customHeight="1">
      <c r="I468" s="75"/>
    </row>
    <row r="469" spans="9:9" s="55" customFormat="1" ht="14.4" customHeight="1">
      <c r="I469" s="75"/>
    </row>
    <row r="470" spans="9:9" s="55" customFormat="1" ht="14.4" customHeight="1">
      <c r="I470" s="75"/>
    </row>
    <row r="471" spans="9:9" s="55" customFormat="1" ht="14.4" customHeight="1">
      <c r="I471" s="75"/>
    </row>
    <row r="472" spans="9:9" s="55" customFormat="1" ht="14.4" customHeight="1">
      <c r="I472" s="75"/>
    </row>
    <row r="473" spans="9:9" s="55" customFormat="1" ht="14.4" customHeight="1">
      <c r="I473" s="75"/>
    </row>
    <row r="474" spans="9:9" s="55" customFormat="1" ht="14.4" customHeight="1">
      <c r="I474" s="75"/>
    </row>
    <row r="475" spans="9:9" s="55" customFormat="1" ht="14.4" customHeight="1">
      <c r="I475" s="75"/>
    </row>
    <row r="476" spans="9:9" s="55" customFormat="1" ht="14.4" customHeight="1">
      <c r="I476" s="75"/>
    </row>
    <row r="477" spans="9:9" s="55" customFormat="1" ht="14.4" customHeight="1">
      <c r="I477" s="75"/>
    </row>
    <row r="478" spans="9:9" s="55" customFormat="1" ht="14.4" customHeight="1">
      <c r="I478" s="75"/>
    </row>
    <row r="479" spans="9:9" s="55" customFormat="1" ht="14.4" customHeight="1">
      <c r="I479" s="75"/>
    </row>
    <row r="480" spans="9:9" s="55" customFormat="1" ht="14.4" customHeight="1">
      <c r="I480" s="75"/>
    </row>
    <row r="481" spans="9:9" s="55" customFormat="1" ht="14.4" customHeight="1">
      <c r="I481" s="75"/>
    </row>
    <row r="482" spans="9:9" s="55" customFormat="1" ht="14.4" customHeight="1">
      <c r="I482" s="75"/>
    </row>
    <row r="483" spans="9:9" s="55" customFormat="1" ht="14.4" customHeight="1">
      <c r="I483" s="75"/>
    </row>
    <row r="484" spans="9:9" s="55" customFormat="1" ht="14.4" customHeight="1">
      <c r="I484" s="75"/>
    </row>
    <row r="485" spans="9:9" s="55" customFormat="1" ht="14.4" customHeight="1">
      <c r="I485" s="75"/>
    </row>
    <row r="486" spans="9:9" s="55" customFormat="1" ht="14.4" customHeight="1">
      <c r="I486" s="75"/>
    </row>
    <row r="487" spans="9:9" s="55" customFormat="1" ht="14.4" customHeight="1">
      <c r="I487" s="75"/>
    </row>
    <row r="488" spans="9:9" s="55" customFormat="1" ht="14.4" customHeight="1">
      <c r="I488" s="75"/>
    </row>
    <row r="489" spans="9:9" s="55" customFormat="1" ht="14.4" customHeight="1">
      <c r="I489" s="75"/>
    </row>
    <row r="490" spans="9:9" s="55" customFormat="1" ht="14.4" customHeight="1">
      <c r="I490" s="75"/>
    </row>
    <row r="491" spans="9:9" s="55" customFormat="1" ht="14.4" customHeight="1">
      <c r="I491" s="75"/>
    </row>
    <row r="492" spans="9:9" s="55" customFormat="1" ht="14.4" customHeight="1">
      <c r="I492" s="75"/>
    </row>
    <row r="493" spans="9:9" s="55" customFormat="1" ht="14.4" customHeight="1">
      <c r="I493" s="75"/>
    </row>
    <row r="494" spans="9:9" s="55" customFormat="1" ht="14.4" customHeight="1">
      <c r="I494" s="75"/>
    </row>
    <row r="495" spans="9:9" s="55" customFormat="1" ht="14.4" customHeight="1">
      <c r="I495" s="75"/>
    </row>
    <row r="496" spans="9:9" s="55" customFormat="1" ht="14.4" customHeight="1">
      <c r="I496" s="75"/>
    </row>
    <row r="497" spans="9:9" s="55" customFormat="1" ht="14.4" customHeight="1">
      <c r="I497" s="75"/>
    </row>
    <row r="498" spans="9:9" s="55" customFormat="1" ht="14.4" customHeight="1">
      <c r="I498" s="75"/>
    </row>
    <row r="499" spans="9:9" s="55" customFormat="1" ht="14.4" customHeight="1">
      <c r="I499" s="75"/>
    </row>
    <row r="500" spans="9:9" s="55" customFormat="1" ht="14.4" customHeight="1">
      <c r="I500" s="75"/>
    </row>
    <row r="501" spans="9:9" s="55" customFormat="1" ht="14.4" customHeight="1">
      <c r="I501" s="75"/>
    </row>
    <row r="502" spans="9:9" s="55" customFormat="1" ht="14.4" customHeight="1">
      <c r="I502" s="75"/>
    </row>
    <row r="503" spans="9:9" s="55" customFormat="1" ht="14.4" customHeight="1">
      <c r="I503" s="75"/>
    </row>
    <row r="504" spans="9:9" s="55" customFormat="1" ht="14.4" customHeight="1">
      <c r="I504" s="75"/>
    </row>
    <row r="505" spans="9:9" s="55" customFormat="1" ht="14.4" customHeight="1">
      <c r="I505" s="75"/>
    </row>
    <row r="506" spans="9:9" s="55" customFormat="1" ht="14.4" customHeight="1">
      <c r="I506" s="75"/>
    </row>
    <row r="507" spans="9:9" s="55" customFormat="1" ht="14.4" customHeight="1">
      <c r="I507" s="75"/>
    </row>
    <row r="508" spans="9:9" s="55" customFormat="1" ht="14.4" customHeight="1">
      <c r="I508" s="75"/>
    </row>
    <row r="509" spans="9:9" s="55" customFormat="1" ht="14.4" customHeight="1">
      <c r="I509" s="75"/>
    </row>
    <row r="510" spans="9:9" s="55" customFormat="1" ht="14.4" customHeight="1">
      <c r="I510" s="75"/>
    </row>
    <row r="511" spans="9:9" s="55" customFormat="1" ht="14.4" customHeight="1">
      <c r="I511" s="75"/>
    </row>
    <row r="512" spans="9:9" s="55" customFormat="1" ht="14.4" customHeight="1">
      <c r="I512" s="75"/>
    </row>
    <row r="513" spans="9:9" s="55" customFormat="1" ht="14.4" customHeight="1">
      <c r="I513" s="75"/>
    </row>
    <row r="514" spans="9:9" s="55" customFormat="1" ht="14.4" customHeight="1">
      <c r="I514" s="75"/>
    </row>
    <row r="515" spans="9:9" s="55" customFormat="1" ht="14.4" customHeight="1">
      <c r="I515" s="75"/>
    </row>
    <row r="516" spans="9:9" s="55" customFormat="1" ht="14.4" customHeight="1">
      <c r="I516" s="75"/>
    </row>
    <row r="517" spans="9:9" s="55" customFormat="1" ht="14.4" customHeight="1">
      <c r="I517" s="75"/>
    </row>
    <row r="518" spans="9:9" s="55" customFormat="1" ht="14.4" customHeight="1">
      <c r="I518" s="75"/>
    </row>
    <row r="519" spans="9:9" s="55" customFormat="1" ht="14.4" customHeight="1">
      <c r="I519" s="75"/>
    </row>
    <row r="520" spans="9:9" s="55" customFormat="1" ht="14.4" customHeight="1">
      <c r="I520" s="75"/>
    </row>
    <row r="521" spans="9:9" s="55" customFormat="1" ht="14.4" customHeight="1">
      <c r="I521" s="75"/>
    </row>
    <row r="522" spans="9:9" s="55" customFormat="1" ht="14.4" customHeight="1">
      <c r="I522" s="75"/>
    </row>
    <row r="523" spans="9:9" s="55" customFormat="1" ht="14.4" customHeight="1">
      <c r="I523" s="75"/>
    </row>
    <row r="524" spans="9:9" s="55" customFormat="1" ht="14.4" customHeight="1">
      <c r="I524" s="75"/>
    </row>
    <row r="525" spans="9:9" s="55" customFormat="1" ht="14.4" customHeight="1">
      <c r="I525" s="75"/>
    </row>
    <row r="526" spans="9:9" s="55" customFormat="1" ht="14.4" customHeight="1">
      <c r="I526" s="75"/>
    </row>
    <row r="527" spans="9:9" s="55" customFormat="1" ht="14.4" customHeight="1">
      <c r="I527" s="75"/>
    </row>
    <row r="528" spans="9:9" s="55" customFormat="1" ht="14.4" customHeight="1">
      <c r="I528" s="75"/>
    </row>
    <row r="529" spans="9:9" s="55" customFormat="1" ht="14.4" customHeight="1">
      <c r="I529" s="75"/>
    </row>
    <row r="530" spans="9:9" s="55" customFormat="1" ht="14.4" customHeight="1">
      <c r="I530" s="75"/>
    </row>
    <row r="531" spans="9:9" s="55" customFormat="1" ht="14.4" customHeight="1">
      <c r="I531" s="75"/>
    </row>
    <row r="532" spans="9:9" s="55" customFormat="1" ht="14.4" customHeight="1">
      <c r="I532" s="75"/>
    </row>
    <row r="533" spans="9:9" s="55" customFormat="1" ht="14.4" customHeight="1">
      <c r="I533" s="75"/>
    </row>
    <row r="534" spans="9:9" s="55" customFormat="1" ht="14.4" customHeight="1">
      <c r="I534" s="75"/>
    </row>
    <row r="535" spans="9:9" s="55" customFormat="1" ht="14.4" customHeight="1">
      <c r="I535" s="75"/>
    </row>
    <row r="536" spans="9:9" s="55" customFormat="1" ht="14.4" customHeight="1">
      <c r="I536" s="75"/>
    </row>
    <row r="537" spans="9:9" s="55" customFormat="1" ht="14.4" customHeight="1">
      <c r="I537" s="75"/>
    </row>
    <row r="538" spans="9:9" s="55" customFormat="1" ht="14.4" customHeight="1">
      <c r="I538" s="75"/>
    </row>
    <row r="539" spans="9:9" s="55" customFormat="1" ht="14.4" customHeight="1">
      <c r="I539" s="75"/>
    </row>
    <row r="540" spans="9:9" s="55" customFormat="1" ht="14.4" customHeight="1">
      <c r="I540" s="75"/>
    </row>
    <row r="541" spans="9:9" s="55" customFormat="1" ht="14.4" customHeight="1">
      <c r="I541" s="75"/>
    </row>
    <row r="542" spans="9:9" s="55" customFormat="1" ht="14.4" customHeight="1">
      <c r="I542" s="75"/>
    </row>
    <row r="543" spans="9:9" s="55" customFormat="1" ht="14.4" customHeight="1">
      <c r="I543" s="75"/>
    </row>
    <row r="544" spans="9:9" s="55" customFormat="1" ht="14.4" customHeight="1">
      <c r="I544" s="75"/>
    </row>
    <row r="545" spans="9:9" s="55" customFormat="1" ht="14.4" customHeight="1">
      <c r="I545" s="75"/>
    </row>
    <row r="546" spans="9:9" s="55" customFormat="1" ht="14.4" customHeight="1">
      <c r="I546" s="75"/>
    </row>
    <row r="547" spans="9:9" s="55" customFormat="1" ht="14.4" customHeight="1">
      <c r="I547" s="75"/>
    </row>
    <row r="548" spans="9:9" s="55" customFormat="1" ht="14.4" customHeight="1">
      <c r="I548" s="75"/>
    </row>
    <row r="549" spans="9:9" s="55" customFormat="1" ht="14.4" customHeight="1">
      <c r="I549" s="75"/>
    </row>
    <row r="550" spans="9:9" s="55" customFormat="1" ht="14.4" customHeight="1">
      <c r="I550" s="75"/>
    </row>
    <row r="551" spans="9:9" s="55" customFormat="1" ht="14.4" customHeight="1">
      <c r="I551" s="75"/>
    </row>
    <row r="552" spans="9:9" s="55" customFormat="1" ht="14.4" customHeight="1">
      <c r="I552" s="75"/>
    </row>
    <row r="553" spans="9:9" s="55" customFormat="1" ht="14.4" customHeight="1">
      <c r="I553" s="75"/>
    </row>
    <row r="554" spans="9:9" s="55" customFormat="1" ht="14.4" customHeight="1">
      <c r="I554" s="75"/>
    </row>
    <row r="555" spans="9:9" s="55" customFormat="1" ht="14.4" customHeight="1">
      <c r="I555" s="75"/>
    </row>
    <row r="556" spans="9:9" s="55" customFormat="1" ht="14.4" customHeight="1">
      <c r="I556" s="75"/>
    </row>
    <row r="557" spans="9:9" s="55" customFormat="1" ht="14.4" customHeight="1">
      <c r="I557" s="75"/>
    </row>
    <row r="558" spans="9:9" s="55" customFormat="1" ht="14.4" customHeight="1">
      <c r="I558" s="75"/>
    </row>
    <row r="559" spans="9:9" s="55" customFormat="1" ht="14.4" customHeight="1">
      <c r="I559" s="75"/>
    </row>
    <row r="560" spans="9:9" s="55" customFormat="1" ht="14.4" customHeight="1">
      <c r="I560" s="75"/>
    </row>
    <row r="561" spans="9:9" s="55" customFormat="1" ht="14.4" customHeight="1">
      <c r="I561" s="75"/>
    </row>
    <row r="562" spans="9:9" s="55" customFormat="1" ht="14.4" customHeight="1">
      <c r="I562" s="75"/>
    </row>
    <row r="563" spans="9:9" s="55" customFormat="1" ht="14.4" customHeight="1">
      <c r="I563" s="75"/>
    </row>
    <row r="564" spans="9:9" s="55" customFormat="1" ht="14.4" customHeight="1">
      <c r="I564" s="75"/>
    </row>
    <row r="565" spans="9:9" s="55" customFormat="1" ht="14.4" customHeight="1">
      <c r="I565" s="75"/>
    </row>
    <row r="566" spans="9:9" s="55" customFormat="1" ht="14.4" customHeight="1">
      <c r="I566" s="75"/>
    </row>
    <row r="567" spans="9:9" s="55" customFormat="1" ht="14.4" customHeight="1">
      <c r="I567" s="75"/>
    </row>
    <row r="568" spans="9:9" s="55" customFormat="1" ht="14.4" customHeight="1">
      <c r="I568" s="75"/>
    </row>
    <row r="569" spans="9:9" s="55" customFormat="1" ht="14.4" customHeight="1">
      <c r="I569" s="75"/>
    </row>
    <row r="570" spans="9:9" s="55" customFormat="1" ht="14.4" customHeight="1">
      <c r="I570" s="75"/>
    </row>
    <row r="571" spans="9:9" s="55" customFormat="1" ht="14.4" customHeight="1">
      <c r="I571" s="75"/>
    </row>
    <row r="572" spans="9:9" s="55" customFormat="1" ht="14.4" customHeight="1">
      <c r="I572" s="75"/>
    </row>
    <row r="573" spans="9:9" s="55" customFormat="1" ht="14.4" customHeight="1">
      <c r="I573" s="75"/>
    </row>
    <row r="574" spans="9:9" s="55" customFormat="1" ht="14.4" customHeight="1">
      <c r="I574" s="75"/>
    </row>
    <row r="575" spans="9:9" s="55" customFormat="1" ht="14.4" customHeight="1">
      <c r="I575" s="75"/>
    </row>
    <row r="576" spans="9:9" s="55" customFormat="1" ht="14.4" customHeight="1">
      <c r="I576" s="75"/>
    </row>
    <row r="577" spans="9:9" s="55" customFormat="1" ht="14.4" customHeight="1">
      <c r="I577" s="75"/>
    </row>
    <row r="578" spans="9:9" s="55" customFormat="1" ht="14.4" customHeight="1">
      <c r="I578" s="75"/>
    </row>
    <row r="579" spans="9:9" s="55" customFormat="1" ht="14.4" customHeight="1">
      <c r="I579" s="75"/>
    </row>
    <row r="580" spans="9:9" s="55" customFormat="1" ht="14.4" customHeight="1">
      <c r="I580" s="75"/>
    </row>
    <row r="581" spans="9:9" s="55" customFormat="1" ht="14.4" customHeight="1">
      <c r="I581" s="75"/>
    </row>
    <row r="582" spans="9:9" s="55" customFormat="1" ht="14.4" customHeight="1">
      <c r="I582" s="75"/>
    </row>
    <row r="583" spans="9:9" s="55" customFormat="1" ht="14.4" customHeight="1">
      <c r="I583" s="75"/>
    </row>
    <row r="584" spans="9:9" s="55" customFormat="1" ht="14.4" customHeight="1">
      <c r="I584" s="75"/>
    </row>
    <row r="585" spans="9:9" s="55" customFormat="1" ht="14.4" customHeight="1">
      <c r="I585" s="75"/>
    </row>
    <row r="586" spans="9:9" s="55" customFormat="1" ht="14.4" customHeight="1">
      <c r="I586" s="75"/>
    </row>
    <row r="587" spans="9:9" s="55" customFormat="1" ht="14.4" customHeight="1">
      <c r="I587" s="75"/>
    </row>
    <row r="588" spans="9:9" s="55" customFormat="1" ht="14.4" customHeight="1">
      <c r="I588" s="75"/>
    </row>
    <row r="589" spans="9:9" s="55" customFormat="1" ht="14.4" customHeight="1">
      <c r="I589" s="75"/>
    </row>
    <row r="590" spans="9:9" s="55" customFormat="1" ht="14.4" customHeight="1">
      <c r="I590" s="75"/>
    </row>
    <row r="591" spans="9:9" s="55" customFormat="1" ht="14.4" customHeight="1">
      <c r="I591" s="75"/>
    </row>
    <row r="592" spans="9:9" s="55" customFormat="1" ht="14.4" customHeight="1">
      <c r="I592" s="75"/>
    </row>
    <row r="593" spans="9:9" s="55" customFormat="1" ht="14.4" customHeight="1">
      <c r="I593" s="75"/>
    </row>
    <row r="594" spans="9:9" s="55" customFormat="1" ht="14.4" customHeight="1">
      <c r="I594" s="75"/>
    </row>
    <row r="595" spans="9:9" s="55" customFormat="1" ht="14.4" customHeight="1">
      <c r="I595" s="75"/>
    </row>
    <row r="596" spans="9:9" s="55" customFormat="1" ht="14.4" customHeight="1">
      <c r="I596" s="75"/>
    </row>
    <row r="597" spans="9:9" s="55" customFormat="1" ht="14.4" customHeight="1">
      <c r="I597" s="75"/>
    </row>
    <row r="598" spans="9:9" s="55" customFormat="1" ht="14.4" customHeight="1">
      <c r="I598" s="75"/>
    </row>
    <row r="599" spans="9:9" s="55" customFormat="1" ht="14.4" customHeight="1">
      <c r="I599" s="75"/>
    </row>
    <row r="600" spans="9:9" s="55" customFormat="1" ht="14.4" customHeight="1">
      <c r="I600" s="75"/>
    </row>
    <row r="601" spans="9:9" s="55" customFormat="1" ht="14.4" customHeight="1">
      <c r="I601" s="75"/>
    </row>
    <row r="602" spans="9:9" s="55" customFormat="1" ht="14.4" customHeight="1">
      <c r="I602" s="75"/>
    </row>
    <row r="603" spans="9:9" s="55" customFormat="1" ht="14.4" customHeight="1">
      <c r="I603" s="75"/>
    </row>
    <row r="604" spans="9:9" s="55" customFormat="1" ht="14.4" customHeight="1">
      <c r="I604" s="75"/>
    </row>
    <row r="605" spans="9:9" s="55" customFormat="1" ht="14.4" customHeight="1">
      <c r="I605" s="75"/>
    </row>
    <row r="606" spans="9:9" s="55" customFormat="1" ht="14.4" customHeight="1">
      <c r="I606" s="75"/>
    </row>
    <row r="607" spans="9:9" s="55" customFormat="1" ht="14.4" customHeight="1">
      <c r="I607" s="75"/>
    </row>
    <row r="608" spans="9:9" s="55" customFormat="1" ht="14.4" customHeight="1">
      <c r="I608" s="75"/>
    </row>
    <row r="609" spans="9:9" s="55" customFormat="1" ht="14.4" customHeight="1">
      <c r="I609" s="75"/>
    </row>
    <row r="610" spans="9:9" s="55" customFormat="1" ht="14.4" customHeight="1">
      <c r="I610" s="75"/>
    </row>
    <row r="611" spans="9:9" s="55" customFormat="1" ht="14.4" customHeight="1">
      <c r="I611" s="75"/>
    </row>
    <row r="612" spans="9:9" s="55" customFormat="1" ht="14.4" customHeight="1">
      <c r="I612" s="75"/>
    </row>
    <row r="613" spans="9:9" s="55" customFormat="1" ht="14.4" customHeight="1">
      <c r="I613" s="75"/>
    </row>
    <row r="614" spans="9:9" s="55" customFormat="1" ht="14.4" customHeight="1">
      <c r="I614" s="75"/>
    </row>
    <row r="615" spans="9:9" s="55" customFormat="1" ht="14.4" customHeight="1">
      <c r="I615" s="75"/>
    </row>
    <row r="616" spans="9:9" s="55" customFormat="1" ht="14.4" customHeight="1">
      <c r="I616" s="75"/>
    </row>
    <row r="617" spans="9:9" s="55" customFormat="1" ht="14.4" customHeight="1">
      <c r="I617" s="75"/>
    </row>
    <row r="618" spans="9:9" s="55" customFormat="1" ht="14.4" customHeight="1">
      <c r="I618" s="75"/>
    </row>
    <row r="619" spans="9:9" s="55" customFormat="1" ht="14.4" customHeight="1">
      <c r="I619" s="75"/>
    </row>
    <row r="620" spans="9:9" s="55" customFormat="1" ht="14.4" customHeight="1">
      <c r="I620" s="75"/>
    </row>
    <row r="621" spans="9:9" s="55" customFormat="1" ht="14.4" customHeight="1">
      <c r="I621" s="75"/>
    </row>
    <row r="622" spans="9:9" s="55" customFormat="1" ht="14.4" customHeight="1">
      <c r="I622" s="75"/>
    </row>
    <row r="623" spans="9:9" s="55" customFormat="1" ht="14.4" customHeight="1">
      <c r="I623" s="75"/>
    </row>
    <row r="624" spans="9:9" s="55" customFormat="1" ht="14.4" customHeight="1">
      <c r="I624" s="75"/>
    </row>
    <row r="625" spans="9:9" s="55" customFormat="1" ht="14.4" customHeight="1">
      <c r="I625" s="75"/>
    </row>
    <row r="626" spans="9:9" s="55" customFormat="1" ht="14.4" customHeight="1">
      <c r="I626" s="75"/>
    </row>
    <row r="627" spans="9:9" s="55" customFormat="1" ht="14.4" customHeight="1">
      <c r="I627" s="75"/>
    </row>
    <row r="628" spans="9:9" s="55" customFormat="1" ht="14.4" customHeight="1">
      <c r="I628" s="75"/>
    </row>
    <row r="629" spans="9:9" s="55" customFormat="1" ht="14.4" customHeight="1">
      <c r="I629" s="75"/>
    </row>
    <row r="630" spans="9:9" s="55" customFormat="1" ht="14.4" customHeight="1">
      <c r="I630" s="75"/>
    </row>
    <row r="631" spans="9:9" s="55" customFormat="1" ht="14.4" customHeight="1">
      <c r="I631" s="75"/>
    </row>
    <row r="632" spans="9:9" s="55" customFormat="1" ht="14.4" customHeight="1">
      <c r="I632" s="75"/>
    </row>
    <row r="633" spans="9:9" s="55" customFormat="1" ht="14.4" customHeight="1">
      <c r="I633" s="75"/>
    </row>
    <row r="634" spans="9:9" s="55" customFormat="1" ht="14.4" customHeight="1">
      <c r="I634" s="75"/>
    </row>
    <row r="635" spans="9:9" s="55" customFormat="1" ht="14.4" customHeight="1">
      <c r="I635" s="75"/>
    </row>
    <row r="636" spans="9:9" s="55" customFormat="1" ht="14.4" customHeight="1">
      <c r="I636" s="75"/>
    </row>
    <row r="637" spans="9:9" s="55" customFormat="1" ht="14.4" customHeight="1">
      <c r="I637" s="75"/>
    </row>
    <row r="638" spans="9:9" s="55" customFormat="1" ht="14.4" customHeight="1">
      <c r="I638" s="75"/>
    </row>
    <row r="639" spans="9:9" s="55" customFormat="1" ht="14.4" customHeight="1">
      <c r="I639" s="75"/>
    </row>
    <row r="640" spans="9:9" s="55" customFormat="1" ht="14.4" customHeight="1">
      <c r="I640" s="75"/>
    </row>
    <row r="641" spans="9:9" s="55" customFormat="1" ht="14.4" customHeight="1">
      <c r="I641" s="75"/>
    </row>
    <row r="642" spans="9:9" s="55" customFormat="1" ht="14.4" customHeight="1">
      <c r="I642" s="75"/>
    </row>
    <row r="643" spans="9:9" s="55" customFormat="1" ht="14.4" customHeight="1">
      <c r="I643" s="75"/>
    </row>
    <row r="644" spans="9:9" s="55" customFormat="1" ht="14.4" customHeight="1">
      <c r="I644" s="75"/>
    </row>
    <row r="645" spans="9:9" s="55" customFormat="1" ht="14.4" customHeight="1">
      <c r="I645" s="75"/>
    </row>
    <row r="646" spans="9:9" s="55" customFormat="1" ht="14.4" customHeight="1">
      <c r="I646" s="75"/>
    </row>
    <row r="647" spans="9:9" s="55" customFormat="1" ht="14.4" customHeight="1">
      <c r="I647" s="75"/>
    </row>
    <row r="648" spans="9:9" s="55" customFormat="1" ht="14.4" customHeight="1">
      <c r="I648" s="75"/>
    </row>
    <row r="649" spans="9:9" s="55" customFormat="1" ht="14.4" customHeight="1">
      <c r="I649" s="75"/>
    </row>
    <row r="650" spans="9:9" s="55" customFormat="1" ht="14.4" customHeight="1">
      <c r="I650" s="75"/>
    </row>
    <row r="651" spans="9:9" s="55" customFormat="1" ht="14.4" customHeight="1">
      <c r="I651" s="75"/>
    </row>
    <row r="652" spans="9:9" s="55" customFormat="1" ht="14.4" customHeight="1">
      <c r="I652" s="75"/>
    </row>
    <row r="653" spans="9:9" s="55" customFormat="1" ht="14.4" customHeight="1">
      <c r="I653" s="75"/>
    </row>
    <row r="654" spans="9:9" s="55" customFormat="1" ht="14.4" customHeight="1">
      <c r="I654" s="75"/>
    </row>
    <row r="655" spans="9:9" s="55" customFormat="1" ht="14.4" customHeight="1">
      <c r="I655" s="75"/>
    </row>
    <row r="656" spans="9:9" s="55" customFormat="1" ht="14.4" customHeight="1">
      <c r="I656" s="75"/>
    </row>
    <row r="657" spans="9:9" s="55" customFormat="1" ht="14.4" customHeight="1">
      <c r="I657" s="75"/>
    </row>
    <row r="658" spans="9:9" s="55" customFormat="1" ht="14.4" customHeight="1">
      <c r="I658" s="75"/>
    </row>
    <row r="659" spans="9:9" s="55" customFormat="1" ht="14.4" customHeight="1">
      <c r="I659" s="75"/>
    </row>
    <row r="660" spans="9:9" s="55" customFormat="1" ht="14.4" customHeight="1">
      <c r="I660" s="75"/>
    </row>
    <row r="661" spans="9:9" s="55" customFormat="1" ht="14.4" customHeight="1">
      <c r="I661" s="75"/>
    </row>
    <row r="662" spans="9:9" s="55" customFormat="1" ht="14.4" customHeight="1">
      <c r="I662" s="75"/>
    </row>
    <row r="663" spans="9:9" s="55" customFormat="1" ht="14.4" customHeight="1">
      <c r="I663" s="75"/>
    </row>
    <row r="664" spans="9:9" s="55" customFormat="1" ht="14.4" customHeight="1">
      <c r="I664" s="75"/>
    </row>
    <row r="665" spans="9:9" s="55" customFormat="1" ht="14.4" customHeight="1">
      <c r="I665" s="75"/>
    </row>
    <row r="666" spans="9:9" s="55" customFormat="1" ht="14.4" customHeight="1">
      <c r="I666" s="75"/>
    </row>
    <row r="667" spans="9:9" s="55" customFormat="1" ht="14.4" customHeight="1">
      <c r="I667" s="75"/>
    </row>
    <row r="668" spans="9:9" s="55" customFormat="1" ht="14.4" customHeight="1">
      <c r="I668" s="75"/>
    </row>
    <row r="669" spans="9:9" s="55" customFormat="1" ht="14.4" customHeight="1">
      <c r="I669" s="75"/>
    </row>
    <row r="670" spans="9:9" s="55" customFormat="1" ht="14.4" customHeight="1">
      <c r="I670" s="75"/>
    </row>
    <row r="671" spans="9:9" s="55" customFormat="1" ht="14.4" customHeight="1">
      <c r="I671" s="75"/>
    </row>
    <row r="672" spans="9:9" s="55" customFormat="1" ht="14.4" customHeight="1">
      <c r="I672" s="75"/>
    </row>
    <row r="673" spans="9:9" s="55" customFormat="1" ht="14.4" customHeight="1">
      <c r="I673" s="75"/>
    </row>
    <row r="674" spans="9:9" s="55" customFormat="1" ht="14.4" customHeight="1">
      <c r="I674" s="75"/>
    </row>
    <row r="675" spans="9:9" s="55" customFormat="1" ht="14.4" customHeight="1">
      <c r="I675" s="75"/>
    </row>
    <row r="676" spans="9:9" s="55" customFormat="1" ht="14.4" customHeight="1">
      <c r="I676" s="75"/>
    </row>
    <row r="677" spans="9:9" s="55" customFormat="1" ht="14.4" customHeight="1">
      <c r="I677" s="75"/>
    </row>
    <row r="678" spans="9:9" s="55" customFormat="1" ht="14.4" customHeight="1">
      <c r="I678" s="75"/>
    </row>
    <row r="679" spans="9:9" s="55" customFormat="1" ht="14.4" customHeight="1">
      <c r="I679" s="75"/>
    </row>
    <row r="680" spans="9:9" s="55" customFormat="1" ht="14.4" customHeight="1">
      <c r="I680" s="75"/>
    </row>
    <row r="681" spans="9:9" s="55" customFormat="1" ht="14.4" customHeight="1">
      <c r="I681" s="75"/>
    </row>
    <row r="682" spans="9:9" s="55" customFormat="1" ht="14.4" customHeight="1">
      <c r="I682" s="75"/>
    </row>
    <row r="683" spans="9:9" s="55" customFormat="1" ht="14.4" customHeight="1">
      <c r="I683" s="75"/>
    </row>
    <row r="684" spans="9:9" s="55" customFormat="1" ht="14.4" customHeight="1">
      <c r="I684" s="75"/>
    </row>
    <row r="685" spans="9:9" s="55" customFormat="1" ht="14.4" customHeight="1">
      <c r="I685" s="75"/>
    </row>
    <row r="686" spans="9:9" s="55" customFormat="1" ht="14.4" customHeight="1">
      <c r="I686" s="75"/>
    </row>
    <row r="687" spans="9:9" s="55" customFormat="1" ht="14.4" customHeight="1">
      <c r="I687" s="75"/>
    </row>
    <row r="688" spans="9:9" s="55" customFormat="1" ht="14.4" customHeight="1">
      <c r="I688" s="75"/>
    </row>
    <row r="689" spans="9:9" s="55" customFormat="1" ht="14.4" customHeight="1">
      <c r="I689" s="75"/>
    </row>
    <row r="690" spans="9:9" s="55" customFormat="1" ht="14.4" customHeight="1">
      <c r="I690" s="75"/>
    </row>
    <row r="691" spans="9:9" s="55" customFormat="1" ht="14.4" customHeight="1">
      <c r="I691" s="75"/>
    </row>
    <row r="692" spans="9:9" s="55" customFormat="1" ht="14.4" customHeight="1">
      <c r="I692" s="75"/>
    </row>
    <row r="693" spans="9:9" s="55" customFormat="1" ht="14.4" customHeight="1">
      <c r="I693" s="75"/>
    </row>
    <row r="694" spans="9:9" s="55" customFormat="1" ht="14.4" customHeight="1">
      <c r="I694" s="75"/>
    </row>
    <row r="695" spans="9:9" s="55" customFormat="1" ht="14.4" customHeight="1">
      <c r="I695" s="75"/>
    </row>
    <row r="696" spans="9:9" s="55" customFormat="1" ht="14.4" customHeight="1">
      <c r="I696" s="75"/>
    </row>
    <row r="697" spans="9:9" s="55" customFormat="1" ht="14.4" customHeight="1">
      <c r="I697" s="75"/>
    </row>
    <row r="698" spans="9:9" s="55" customFormat="1" ht="14.4" customHeight="1">
      <c r="I698" s="75"/>
    </row>
    <row r="699" spans="9:9" s="55" customFormat="1" ht="14.4" customHeight="1">
      <c r="I699" s="75"/>
    </row>
    <row r="700" spans="9:9" s="55" customFormat="1" ht="14.4" customHeight="1">
      <c r="I700" s="75"/>
    </row>
    <row r="701" spans="9:9" s="55" customFormat="1" ht="14.4" customHeight="1">
      <c r="I701" s="75"/>
    </row>
    <row r="702" spans="9:9" s="55" customFormat="1" ht="14.4" customHeight="1">
      <c r="I702" s="75"/>
    </row>
    <row r="703" spans="9:9" s="55" customFormat="1" ht="14.4" customHeight="1">
      <c r="I703" s="75"/>
    </row>
    <row r="704" spans="9:9" s="55" customFormat="1" ht="14.4" customHeight="1">
      <c r="I704" s="75"/>
    </row>
    <row r="705" spans="9:9" s="55" customFormat="1" ht="14.4" customHeight="1">
      <c r="I705" s="75"/>
    </row>
    <row r="706" spans="9:9" s="55" customFormat="1" ht="14.4" customHeight="1">
      <c r="I706" s="75"/>
    </row>
    <row r="707" spans="9:9" s="55" customFormat="1" ht="14.4" customHeight="1">
      <c r="I707" s="75"/>
    </row>
    <row r="708" spans="9:9" s="55" customFormat="1" ht="14.4" customHeight="1">
      <c r="I708" s="75"/>
    </row>
    <row r="709" spans="9:9" s="55" customFormat="1" ht="14.4" customHeight="1">
      <c r="I709" s="75"/>
    </row>
    <row r="710" spans="9:9" s="55" customFormat="1" ht="14.4" customHeight="1">
      <c r="I710" s="75"/>
    </row>
    <row r="711" spans="9:9" s="55" customFormat="1" ht="14.4" customHeight="1">
      <c r="I711" s="75"/>
    </row>
    <row r="712" spans="9:9" s="55" customFormat="1" ht="14.4" customHeight="1">
      <c r="I712" s="75"/>
    </row>
    <row r="713" spans="9:9" s="55" customFormat="1" ht="14.4" customHeight="1">
      <c r="I713" s="75"/>
    </row>
    <row r="714" spans="9:9" s="55" customFormat="1" ht="14.4" customHeight="1">
      <c r="I714" s="75"/>
    </row>
    <row r="715" spans="9:9" s="55" customFormat="1" ht="14.4" customHeight="1">
      <c r="I715" s="75"/>
    </row>
    <row r="716" spans="9:9" s="55" customFormat="1" ht="14.4" customHeight="1">
      <c r="I716" s="75"/>
    </row>
    <row r="717" spans="9:9" s="55" customFormat="1" ht="14.4" customHeight="1">
      <c r="I717" s="75"/>
    </row>
    <row r="718" spans="9:9" s="55" customFormat="1" ht="14.4" customHeight="1">
      <c r="I718" s="75"/>
    </row>
    <row r="719" spans="9:9" s="55" customFormat="1" ht="14.4" customHeight="1">
      <c r="I719" s="75"/>
    </row>
    <row r="720" spans="9:9" s="55" customFormat="1" ht="14.4" customHeight="1">
      <c r="I720" s="75"/>
    </row>
    <row r="721" spans="9:9" s="55" customFormat="1" ht="14.4" customHeight="1">
      <c r="I721" s="75"/>
    </row>
    <row r="722" spans="9:9" s="55" customFormat="1" ht="14.4" customHeight="1">
      <c r="I722" s="75"/>
    </row>
    <row r="723" spans="9:9" s="55" customFormat="1" ht="14.4" customHeight="1">
      <c r="I723" s="75"/>
    </row>
    <row r="724" spans="9:9" s="55" customFormat="1" ht="14.4" customHeight="1">
      <c r="I724" s="75"/>
    </row>
    <row r="725" spans="9:9" s="55" customFormat="1" ht="14.4" customHeight="1">
      <c r="I725" s="75"/>
    </row>
    <row r="726" spans="9:9" s="55" customFormat="1" ht="14.4" customHeight="1">
      <c r="I726" s="75"/>
    </row>
    <row r="727" spans="9:9" s="55" customFormat="1" ht="14.4" customHeight="1">
      <c r="I727" s="75"/>
    </row>
    <row r="728" spans="9:9" s="55" customFormat="1" ht="14.4" customHeight="1">
      <c r="I728" s="75"/>
    </row>
    <row r="729" spans="9:9" s="55" customFormat="1" ht="14.4" customHeight="1">
      <c r="I729" s="75"/>
    </row>
    <row r="730" spans="9:9" s="55" customFormat="1" ht="14.4" customHeight="1">
      <c r="I730" s="75"/>
    </row>
    <row r="731" spans="9:9" s="55" customFormat="1" ht="14.4" customHeight="1">
      <c r="I731" s="75"/>
    </row>
    <row r="732" spans="9:9" s="55" customFormat="1" ht="14.4" customHeight="1">
      <c r="I732" s="75"/>
    </row>
    <row r="733" spans="9:9" s="55" customFormat="1" ht="14.4" customHeight="1">
      <c r="I733" s="75"/>
    </row>
    <row r="734" spans="9:9" s="55" customFormat="1" ht="14.4" customHeight="1">
      <c r="I734" s="75"/>
    </row>
    <row r="735" spans="9:9" s="55" customFormat="1" ht="14.4" customHeight="1">
      <c r="I735" s="75"/>
    </row>
    <row r="736" spans="9:9" s="55" customFormat="1" ht="14.4" customHeight="1">
      <c r="I736" s="75"/>
    </row>
    <row r="737" spans="9:9" s="55" customFormat="1" ht="14.4" customHeight="1">
      <c r="I737" s="75"/>
    </row>
    <row r="738" spans="9:9" s="55" customFormat="1" ht="14.4" customHeight="1">
      <c r="I738" s="75"/>
    </row>
    <row r="739" spans="9:9" s="55" customFormat="1" ht="14.4" customHeight="1">
      <c r="I739" s="75"/>
    </row>
    <row r="740" spans="9:9" s="55" customFormat="1" ht="14.4" customHeight="1">
      <c r="I740" s="75"/>
    </row>
    <row r="741" spans="9:9" s="55" customFormat="1" ht="14.4" customHeight="1">
      <c r="I741" s="75"/>
    </row>
    <row r="742" spans="9:9" s="55" customFormat="1" ht="14.4" customHeight="1">
      <c r="I742" s="75"/>
    </row>
    <row r="743" spans="9:9" s="55" customFormat="1" ht="14.4" customHeight="1">
      <c r="I743" s="75"/>
    </row>
    <row r="744" spans="9:9" s="55" customFormat="1" ht="14.4" customHeight="1">
      <c r="I744" s="75"/>
    </row>
    <row r="745" spans="9:9" s="55" customFormat="1" ht="14.4" customHeight="1">
      <c r="I745" s="75"/>
    </row>
    <row r="746" spans="9:9" s="55" customFormat="1" ht="14.4" customHeight="1">
      <c r="I746" s="75"/>
    </row>
    <row r="747" spans="9:9" s="55" customFormat="1" ht="14.4" customHeight="1">
      <c r="I747" s="75"/>
    </row>
    <row r="748" spans="9:9" s="55" customFormat="1" ht="14.4" customHeight="1">
      <c r="I748" s="75"/>
    </row>
    <row r="749" spans="9:9" s="55" customFormat="1" ht="14.4" customHeight="1">
      <c r="I749" s="75"/>
    </row>
    <row r="750" spans="9:9" s="55" customFormat="1" ht="14.4" customHeight="1">
      <c r="I750" s="75"/>
    </row>
    <row r="751" spans="9:9" s="55" customFormat="1" ht="14.4" customHeight="1">
      <c r="I751" s="75"/>
    </row>
    <row r="752" spans="9:9" s="55" customFormat="1" ht="14.4" customHeight="1">
      <c r="I752" s="75"/>
    </row>
    <row r="753" spans="9:9" s="55" customFormat="1" ht="14.4" customHeight="1">
      <c r="I753" s="75"/>
    </row>
    <row r="754" spans="9:9" s="55" customFormat="1" ht="14.4" customHeight="1">
      <c r="I754" s="75"/>
    </row>
    <row r="755" spans="9:9" s="55" customFormat="1" ht="14.4" customHeight="1">
      <c r="I755" s="75"/>
    </row>
    <row r="756" spans="9:9" s="55" customFormat="1" ht="14.4" customHeight="1">
      <c r="I756" s="75"/>
    </row>
    <row r="757" spans="9:9" s="55" customFormat="1" ht="14.4" customHeight="1">
      <c r="I757" s="75"/>
    </row>
    <row r="758" spans="9:9" s="55" customFormat="1" ht="14.4" customHeight="1">
      <c r="I758" s="75"/>
    </row>
    <row r="759" spans="9:9" s="55" customFormat="1" ht="14.4" customHeight="1">
      <c r="I759" s="75"/>
    </row>
    <row r="760" spans="9:9" s="55" customFormat="1" ht="14.4" customHeight="1">
      <c r="I760" s="75"/>
    </row>
    <row r="761" spans="9:9" s="55" customFormat="1" ht="14.4" customHeight="1">
      <c r="I761" s="75"/>
    </row>
    <row r="762" spans="9:9" s="55" customFormat="1" ht="14.4" customHeight="1">
      <c r="I762" s="75"/>
    </row>
    <row r="763" spans="9:9" s="55" customFormat="1" ht="14.4" customHeight="1">
      <c r="I763" s="75"/>
    </row>
    <row r="764" spans="9:9" s="55" customFormat="1" ht="14.4" customHeight="1">
      <c r="I764" s="75"/>
    </row>
    <row r="765" spans="9:9" s="55" customFormat="1" ht="14.4" customHeight="1">
      <c r="I765" s="75"/>
    </row>
    <row r="766" spans="9:9" s="55" customFormat="1" ht="14.4" customHeight="1">
      <c r="I766" s="75"/>
    </row>
    <row r="767" spans="9:9" s="55" customFormat="1" ht="14.4" customHeight="1">
      <c r="I767" s="75"/>
    </row>
    <row r="768" spans="9:9" s="55" customFormat="1" ht="14.4" customHeight="1">
      <c r="I768" s="75"/>
    </row>
    <row r="769" spans="9:9" s="55" customFormat="1" ht="14.4" customHeight="1">
      <c r="I769" s="75"/>
    </row>
    <row r="770" spans="9:9" s="55" customFormat="1" ht="14.4" customHeight="1">
      <c r="I770" s="75"/>
    </row>
    <row r="771" spans="9:9" s="55" customFormat="1" ht="14.4" customHeight="1">
      <c r="I771" s="75"/>
    </row>
    <row r="772" spans="9:9" s="55" customFormat="1" ht="14.4" customHeight="1">
      <c r="I772" s="75"/>
    </row>
    <row r="773" spans="9:9" s="55" customFormat="1" ht="14.4" customHeight="1">
      <c r="I773" s="75"/>
    </row>
    <row r="774" spans="9:9" s="55" customFormat="1" ht="14.4" customHeight="1">
      <c r="I774" s="75"/>
    </row>
    <row r="775" spans="9:9" s="55" customFormat="1" ht="14.4" customHeight="1">
      <c r="I775" s="75"/>
    </row>
    <row r="776" spans="9:9" s="55" customFormat="1" ht="14.4" customHeight="1">
      <c r="I776" s="75"/>
    </row>
    <row r="777" spans="9:9" s="55" customFormat="1" ht="14.4" customHeight="1">
      <c r="I777" s="75"/>
    </row>
    <row r="778" spans="9:9" s="55" customFormat="1" ht="14.4" customHeight="1">
      <c r="I778" s="75"/>
    </row>
    <row r="779" spans="9:9" s="55" customFormat="1" ht="14.4" customHeight="1">
      <c r="I779" s="75"/>
    </row>
    <row r="780" spans="9:9" s="55" customFormat="1" ht="14.4" customHeight="1">
      <c r="I780" s="75"/>
    </row>
    <row r="781" spans="9:9" s="55" customFormat="1" ht="14.4" customHeight="1">
      <c r="I781" s="75"/>
    </row>
    <row r="782" spans="9:9" s="55" customFormat="1" ht="14.4" customHeight="1">
      <c r="I782" s="75"/>
    </row>
    <row r="783" spans="9:9" s="55" customFormat="1" ht="14.4" customHeight="1">
      <c r="I783" s="75"/>
    </row>
    <row r="784" spans="9:9" s="55" customFormat="1" ht="14.4" customHeight="1">
      <c r="I784" s="75"/>
    </row>
    <row r="785" spans="9:9" s="55" customFormat="1" ht="14.4" customHeight="1">
      <c r="I785" s="75"/>
    </row>
    <row r="786" spans="9:9" s="55" customFormat="1" ht="14.4" customHeight="1">
      <c r="I786" s="75"/>
    </row>
    <row r="787" spans="9:9" s="55" customFormat="1" ht="14.4" customHeight="1">
      <c r="I787" s="75"/>
    </row>
    <row r="788" spans="9:9" s="55" customFormat="1" ht="14.4" customHeight="1">
      <c r="I788" s="75"/>
    </row>
    <row r="789" spans="9:9" s="55" customFormat="1" ht="14.4" customHeight="1">
      <c r="I789" s="75"/>
    </row>
    <row r="790" spans="9:9" s="55" customFormat="1" ht="14.4" customHeight="1">
      <c r="I790" s="75"/>
    </row>
    <row r="791" spans="9:9" s="55" customFormat="1" ht="14.4" customHeight="1">
      <c r="I791" s="75"/>
    </row>
    <row r="792" spans="9:9" s="55" customFormat="1" ht="14.4" customHeight="1">
      <c r="I792" s="75"/>
    </row>
    <row r="793" spans="9:9" s="55" customFormat="1" ht="14.4" customHeight="1">
      <c r="I793" s="75"/>
    </row>
    <row r="794" spans="9:9" s="55" customFormat="1" ht="14.4" customHeight="1">
      <c r="I794" s="75"/>
    </row>
    <row r="795" spans="9:9" s="55" customFormat="1" ht="14.4" customHeight="1">
      <c r="I795" s="75"/>
    </row>
    <row r="796" spans="9:9" s="55" customFormat="1" ht="14.4" customHeight="1">
      <c r="I796" s="75"/>
    </row>
    <row r="797" spans="9:9" s="55" customFormat="1" ht="14.4" customHeight="1">
      <c r="I797" s="75"/>
    </row>
    <row r="798" spans="9:9" s="55" customFormat="1" ht="14.4" customHeight="1">
      <c r="I798" s="75"/>
    </row>
    <row r="799" spans="9:9" s="55" customFormat="1" ht="14.4" customHeight="1">
      <c r="I799" s="75"/>
    </row>
    <row r="800" spans="9:9" s="55" customFormat="1" ht="14.4" customHeight="1">
      <c r="I800" s="75"/>
    </row>
    <row r="801" spans="9:9" s="55" customFormat="1" ht="14.4" customHeight="1">
      <c r="I801" s="75"/>
    </row>
    <row r="802" spans="9:9" s="55" customFormat="1" ht="14.4" customHeight="1">
      <c r="I802" s="75"/>
    </row>
    <row r="803" spans="9:9" s="55" customFormat="1" ht="14.4" customHeight="1">
      <c r="I803" s="75"/>
    </row>
    <row r="804" spans="9:9" s="55" customFormat="1" ht="14.4" customHeight="1">
      <c r="I804" s="75"/>
    </row>
    <row r="805" spans="9:9" s="55" customFormat="1" ht="14.4" customHeight="1">
      <c r="I805" s="75"/>
    </row>
    <row r="806" spans="9:9" s="55" customFormat="1" ht="14.4" customHeight="1">
      <c r="I806" s="75"/>
    </row>
    <row r="807" spans="9:9" s="55" customFormat="1" ht="14.4" customHeight="1">
      <c r="I807" s="75"/>
    </row>
    <row r="808" spans="9:9" s="55" customFormat="1" ht="14.4" customHeight="1">
      <c r="I808" s="75"/>
    </row>
    <row r="809" spans="9:9" s="55" customFormat="1" ht="14.4" customHeight="1">
      <c r="I809" s="75"/>
    </row>
    <row r="810" spans="9:9" s="55" customFormat="1" ht="14.4" customHeight="1">
      <c r="I810" s="75"/>
    </row>
    <row r="811" spans="9:9" s="55" customFormat="1" ht="14.4" customHeight="1">
      <c r="I811" s="75"/>
    </row>
    <row r="812" spans="9:9" s="55" customFormat="1" ht="14.4" customHeight="1">
      <c r="I812" s="75"/>
    </row>
    <row r="813" spans="9:9" s="55" customFormat="1" ht="14.4" customHeight="1">
      <c r="I813" s="75"/>
    </row>
    <row r="814" spans="9:9" s="55" customFormat="1" ht="14.4" customHeight="1">
      <c r="I814" s="75"/>
    </row>
    <row r="815" spans="9:9" s="55" customFormat="1" ht="14.4" customHeight="1">
      <c r="I815" s="75"/>
    </row>
    <row r="816" spans="9:9" s="55" customFormat="1" ht="14.4" customHeight="1">
      <c r="I816" s="75"/>
    </row>
    <row r="817" spans="9:9" s="55" customFormat="1" ht="14.4" customHeight="1">
      <c r="I817" s="75"/>
    </row>
    <row r="818" spans="9:9" s="55" customFormat="1" ht="14.4" customHeight="1">
      <c r="I818" s="75"/>
    </row>
    <row r="819" spans="9:9" s="55" customFormat="1" ht="14.4" customHeight="1">
      <c r="I819" s="75"/>
    </row>
    <row r="820" spans="9:9" s="55" customFormat="1" ht="14.4" customHeight="1">
      <c r="I820" s="75"/>
    </row>
    <row r="821" spans="9:9" s="55" customFormat="1" ht="14.4" customHeight="1">
      <c r="I821" s="75"/>
    </row>
    <row r="822" spans="9:9" s="55" customFormat="1" ht="14.4" customHeight="1">
      <c r="I822" s="75"/>
    </row>
    <row r="823" spans="9:9" s="55" customFormat="1" ht="14.4" customHeight="1">
      <c r="I823" s="75"/>
    </row>
    <row r="824" spans="9:9" s="55" customFormat="1" ht="14.4" customHeight="1">
      <c r="I824" s="75"/>
    </row>
    <row r="825" spans="9:9" s="55" customFormat="1" ht="14.4" customHeight="1">
      <c r="I825" s="75"/>
    </row>
    <row r="826" spans="9:9" s="55" customFormat="1" ht="14.4" customHeight="1">
      <c r="I826" s="75"/>
    </row>
    <row r="827" spans="9:9" s="55" customFormat="1" ht="14.4" customHeight="1">
      <c r="I827" s="75"/>
    </row>
    <row r="828" spans="9:9" s="55" customFormat="1" ht="14.4" customHeight="1">
      <c r="I828" s="75"/>
    </row>
    <row r="829" spans="9:9" s="55" customFormat="1" ht="14.4" customHeight="1">
      <c r="I829" s="75"/>
    </row>
    <row r="830" spans="9:9" s="55" customFormat="1" ht="14.4" customHeight="1">
      <c r="I830" s="75"/>
    </row>
    <row r="831" spans="9:9" s="55" customFormat="1" ht="14.4" customHeight="1">
      <c r="I831" s="75"/>
    </row>
    <row r="832" spans="9:9" s="55" customFormat="1" ht="14.4" customHeight="1">
      <c r="I832" s="75"/>
    </row>
    <row r="833" spans="9:9" s="55" customFormat="1" ht="14.4" customHeight="1">
      <c r="I833" s="75"/>
    </row>
    <row r="834" spans="9:9" s="55" customFormat="1" ht="14.4" customHeight="1">
      <c r="I834" s="75"/>
    </row>
    <row r="835" spans="9:9" s="55" customFormat="1" ht="14.4" customHeight="1">
      <c r="I835" s="75"/>
    </row>
    <row r="836" spans="9:9" s="55" customFormat="1" ht="14.4" customHeight="1">
      <c r="I836" s="75"/>
    </row>
    <row r="837" spans="9:9" s="55" customFormat="1" ht="14.4" customHeight="1">
      <c r="I837" s="75"/>
    </row>
    <row r="838" spans="9:9" s="55" customFormat="1" ht="14.4" customHeight="1">
      <c r="I838" s="75"/>
    </row>
    <row r="839" spans="9:9" s="55" customFormat="1" ht="14.4" customHeight="1">
      <c r="I839" s="75"/>
    </row>
    <row r="840" spans="9:9" s="55" customFormat="1" ht="14.4" customHeight="1">
      <c r="I840" s="75"/>
    </row>
    <row r="841" spans="9:9" s="55" customFormat="1" ht="14.4" customHeight="1">
      <c r="I841" s="75"/>
    </row>
    <row r="842" spans="9:9" s="55" customFormat="1" ht="14.4" customHeight="1">
      <c r="I842" s="75"/>
    </row>
    <row r="843" spans="9:9" s="55" customFormat="1" ht="14.4" customHeight="1">
      <c r="I843" s="75"/>
    </row>
    <row r="844" spans="9:9" s="55" customFormat="1" ht="14.4" customHeight="1">
      <c r="I844" s="75"/>
    </row>
    <row r="845" spans="9:9" s="55" customFormat="1" ht="14.4" customHeight="1">
      <c r="I845" s="75"/>
    </row>
    <row r="846" spans="9:9" s="55" customFormat="1" ht="14.4" customHeight="1">
      <c r="I846" s="75"/>
    </row>
    <row r="847" spans="9:9" s="55" customFormat="1" ht="14.4" customHeight="1">
      <c r="I847" s="75"/>
    </row>
    <row r="848" spans="9:9" s="55" customFormat="1" ht="14.4" customHeight="1">
      <c r="I848" s="75"/>
    </row>
    <row r="849" spans="9:9" s="55" customFormat="1" ht="14.4" customHeight="1">
      <c r="I849" s="75"/>
    </row>
    <row r="850" spans="9:9" s="55" customFormat="1" ht="14.4" customHeight="1">
      <c r="I850" s="75"/>
    </row>
    <row r="851" spans="9:9" s="55" customFormat="1" ht="14.4" customHeight="1">
      <c r="I851" s="75"/>
    </row>
    <row r="852" spans="9:9" s="55" customFormat="1" ht="14.4" customHeight="1">
      <c r="I852" s="75"/>
    </row>
    <row r="853" spans="9:9" s="55" customFormat="1" ht="14.4" customHeight="1">
      <c r="I853" s="75"/>
    </row>
    <row r="854" spans="9:9" s="55" customFormat="1" ht="14.4" customHeight="1">
      <c r="I854" s="75"/>
    </row>
    <row r="855" spans="9:9" s="55" customFormat="1" ht="14.4" customHeight="1">
      <c r="I855" s="75"/>
    </row>
    <row r="856" spans="9:9" s="55" customFormat="1" ht="14.4" customHeight="1">
      <c r="I856" s="75"/>
    </row>
    <row r="857" spans="9:9" s="55" customFormat="1" ht="14.4" customHeight="1">
      <c r="I857" s="75"/>
    </row>
    <row r="858" spans="9:9" s="55" customFormat="1" ht="14.4" customHeight="1">
      <c r="I858" s="75"/>
    </row>
    <row r="859" spans="9:9" s="55" customFormat="1" ht="14.4" customHeight="1">
      <c r="I859" s="75"/>
    </row>
    <row r="860" spans="9:9" s="55" customFormat="1" ht="14.4" customHeight="1">
      <c r="I860" s="75"/>
    </row>
    <row r="861" spans="9:9" s="55" customFormat="1" ht="14.4" customHeight="1">
      <c r="I861" s="75"/>
    </row>
    <row r="862" spans="9:9" s="55" customFormat="1" ht="14.4" customHeight="1">
      <c r="I862" s="75"/>
    </row>
    <row r="863" spans="9:9" s="55" customFormat="1" ht="14.4" customHeight="1">
      <c r="I863" s="75"/>
    </row>
    <row r="864" spans="9:9" s="55" customFormat="1" ht="14.4" customHeight="1">
      <c r="I864" s="75"/>
    </row>
    <row r="865" spans="9:9" s="55" customFormat="1" ht="14.4" customHeight="1">
      <c r="I865" s="75"/>
    </row>
    <row r="866" spans="9:9" s="55" customFormat="1" ht="14.4" customHeight="1">
      <c r="I866" s="75"/>
    </row>
    <row r="867" spans="9:9" s="55" customFormat="1" ht="14.4" customHeight="1">
      <c r="I867" s="75"/>
    </row>
    <row r="868" spans="9:9" s="55" customFormat="1" ht="14.4" customHeight="1">
      <c r="I868" s="75"/>
    </row>
    <row r="869" spans="9:9" s="55" customFormat="1" ht="14.4" customHeight="1">
      <c r="I869" s="75"/>
    </row>
    <row r="870" spans="9:9" s="55" customFormat="1" ht="14.4" customHeight="1">
      <c r="I870" s="75"/>
    </row>
    <row r="871" spans="9:9" s="55" customFormat="1" ht="14.4" customHeight="1">
      <c r="I871" s="75"/>
    </row>
    <row r="872" spans="9:9" s="55" customFormat="1" ht="14.4" customHeight="1">
      <c r="I872" s="75"/>
    </row>
    <row r="873" spans="9:9" s="55" customFormat="1" ht="14.4" customHeight="1">
      <c r="I873" s="75"/>
    </row>
    <row r="874" spans="9:9" s="55" customFormat="1" ht="14.4" customHeight="1">
      <c r="I874" s="75"/>
    </row>
    <row r="875" spans="9:9" s="55" customFormat="1" ht="14.4" customHeight="1">
      <c r="I875" s="75"/>
    </row>
    <row r="876" spans="9:9" s="55" customFormat="1" ht="14.4" customHeight="1">
      <c r="I876" s="75"/>
    </row>
    <row r="877" spans="9:9" s="55" customFormat="1" ht="14.4" customHeight="1">
      <c r="I877" s="75"/>
    </row>
    <row r="878" spans="9:9" s="55" customFormat="1" ht="14.4" customHeight="1">
      <c r="I878" s="75"/>
    </row>
    <row r="879" spans="9:9" s="55" customFormat="1" ht="14.4" customHeight="1">
      <c r="I879" s="75"/>
    </row>
    <row r="880" spans="9:9" s="55" customFormat="1" ht="14.4" customHeight="1">
      <c r="I880" s="75"/>
    </row>
    <row r="881" spans="9:9" s="55" customFormat="1" ht="14.4" customHeight="1">
      <c r="I881" s="75"/>
    </row>
    <row r="882" spans="9:9" s="55" customFormat="1" ht="14.4" customHeight="1">
      <c r="I882" s="75"/>
    </row>
    <row r="883" spans="9:9" s="55" customFormat="1" ht="14.4" customHeight="1">
      <c r="I883" s="75"/>
    </row>
    <row r="884" spans="9:9" s="55" customFormat="1" ht="14.4" customHeight="1">
      <c r="I884" s="75"/>
    </row>
    <row r="885" spans="9:9" s="55" customFormat="1" ht="14.4" customHeight="1">
      <c r="I885" s="75"/>
    </row>
    <row r="886" spans="9:9" s="55" customFormat="1" ht="14.4" customHeight="1">
      <c r="I886" s="75"/>
    </row>
    <row r="887" spans="9:9" s="55" customFormat="1" ht="14.4" customHeight="1">
      <c r="I887" s="75"/>
    </row>
    <row r="888" spans="9:9" s="55" customFormat="1" ht="14.4" customHeight="1">
      <c r="I888" s="75"/>
    </row>
    <row r="889" spans="9:9" s="55" customFormat="1" ht="14.4" customHeight="1">
      <c r="I889" s="75"/>
    </row>
    <row r="890" spans="9:9" s="55" customFormat="1" ht="14.4" customHeight="1">
      <c r="I890" s="75"/>
    </row>
    <row r="891" spans="9:9" s="55" customFormat="1" ht="14.4" customHeight="1">
      <c r="I891" s="75"/>
    </row>
    <row r="892" spans="9:9" s="55" customFormat="1" ht="14.4" customHeight="1">
      <c r="I892" s="75"/>
    </row>
    <row r="893" spans="9:9" s="55" customFormat="1" ht="14.4" customHeight="1">
      <c r="I893" s="75"/>
    </row>
    <row r="894" spans="9:9" s="55" customFormat="1" ht="14.4" customHeight="1">
      <c r="I894" s="75"/>
    </row>
    <row r="895" spans="9:9" s="55" customFormat="1" ht="14.4" customHeight="1">
      <c r="I895" s="75"/>
    </row>
    <row r="896" spans="9:9" s="55" customFormat="1" ht="14.4" customHeight="1">
      <c r="I896" s="75"/>
    </row>
    <row r="897" spans="9:9" s="55" customFormat="1" ht="14.4" customHeight="1">
      <c r="I897" s="75"/>
    </row>
    <row r="898" spans="9:9" s="55" customFormat="1" ht="14.4" customHeight="1">
      <c r="I898" s="75"/>
    </row>
    <row r="899" spans="9:9" s="55" customFormat="1" ht="14.4" customHeight="1">
      <c r="I899" s="75"/>
    </row>
    <row r="900" spans="9:9" s="55" customFormat="1" ht="14.4" customHeight="1">
      <c r="I900" s="75"/>
    </row>
    <row r="901" spans="9:9" s="55" customFormat="1" ht="14.4" customHeight="1">
      <c r="I901" s="75"/>
    </row>
    <row r="902" spans="9:9" s="55" customFormat="1" ht="14.4" customHeight="1">
      <c r="I902" s="75"/>
    </row>
    <row r="903" spans="9:9" s="55" customFormat="1" ht="14.4" customHeight="1">
      <c r="I903" s="75"/>
    </row>
    <row r="904" spans="9:9" s="55" customFormat="1" ht="14.4" customHeight="1">
      <c r="I904" s="75"/>
    </row>
    <row r="905" spans="9:9" s="55" customFormat="1" ht="14.4" customHeight="1">
      <c r="I905" s="75"/>
    </row>
    <row r="906" spans="9:9" s="55" customFormat="1" ht="14.4" customHeight="1">
      <c r="I906" s="75"/>
    </row>
    <row r="907" spans="9:9" s="55" customFormat="1" ht="14.4" customHeight="1">
      <c r="I907" s="75"/>
    </row>
    <row r="908" spans="9:9" s="55" customFormat="1" ht="14.4" customHeight="1">
      <c r="I908" s="75"/>
    </row>
    <row r="909" spans="9:9" s="55" customFormat="1" ht="14.4" customHeight="1">
      <c r="I909" s="75"/>
    </row>
    <row r="910" spans="9:9" s="55" customFormat="1" ht="14.4" customHeight="1">
      <c r="I910" s="75"/>
    </row>
    <row r="911" spans="9:9" s="55" customFormat="1" ht="14.4" customHeight="1">
      <c r="I911" s="75"/>
    </row>
    <row r="912" spans="9:9" s="55" customFormat="1" ht="14.4" customHeight="1">
      <c r="I912" s="75"/>
    </row>
    <row r="913" spans="9:9" s="55" customFormat="1" ht="14.4" customHeight="1">
      <c r="I913" s="75"/>
    </row>
    <row r="914" spans="9:9" s="55" customFormat="1" ht="14.4" customHeight="1">
      <c r="I914" s="75"/>
    </row>
    <row r="915" spans="9:9" s="55" customFormat="1" ht="14.4" customHeight="1">
      <c r="I915" s="75"/>
    </row>
    <row r="916" spans="9:9" s="55" customFormat="1" ht="14.4" customHeight="1">
      <c r="I916" s="75"/>
    </row>
    <row r="917" spans="9:9" s="55" customFormat="1" ht="14.4" customHeight="1">
      <c r="I917" s="75"/>
    </row>
    <row r="918" spans="9:9" s="55" customFormat="1" ht="14.4" customHeight="1">
      <c r="I918" s="75"/>
    </row>
    <row r="919" spans="9:9" s="55" customFormat="1" ht="14.4" customHeight="1">
      <c r="I919" s="75"/>
    </row>
    <row r="920" spans="9:9" s="55" customFormat="1" ht="14.4" customHeight="1">
      <c r="I920" s="75"/>
    </row>
    <row r="921" spans="9:9" s="55" customFormat="1" ht="14.4" customHeight="1">
      <c r="I921" s="75"/>
    </row>
    <row r="922" spans="9:9" s="55" customFormat="1" ht="14.4" customHeight="1">
      <c r="I922" s="75"/>
    </row>
    <row r="923" spans="9:9" s="55" customFormat="1" ht="14.4" customHeight="1">
      <c r="I923" s="75"/>
    </row>
    <row r="924" spans="9:9" s="55" customFormat="1" ht="14.4" customHeight="1">
      <c r="I924" s="75"/>
    </row>
    <row r="925" spans="9:9" s="55" customFormat="1" ht="14.4" customHeight="1">
      <c r="I925" s="75"/>
    </row>
    <row r="926" spans="9:9" s="55" customFormat="1" ht="14.4" customHeight="1">
      <c r="I926" s="75"/>
    </row>
    <row r="927" spans="9:9" s="55" customFormat="1" ht="14.4" customHeight="1">
      <c r="I927" s="75"/>
    </row>
    <row r="928" spans="9:9" s="55" customFormat="1" ht="14.4" customHeight="1">
      <c r="I928" s="75"/>
    </row>
    <row r="929" spans="9:9" s="55" customFormat="1" ht="14.4" customHeight="1">
      <c r="I929" s="75"/>
    </row>
    <row r="930" spans="9:9" s="55" customFormat="1" ht="14.4" customHeight="1">
      <c r="I930" s="75"/>
    </row>
    <row r="931" spans="9:9" s="55" customFormat="1" ht="14.4" customHeight="1">
      <c r="I931" s="75"/>
    </row>
    <row r="932" spans="9:9" s="55" customFormat="1" ht="14.4" customHeight="1">
      <c r="I932" s="75"/>
    </row>
    <row r="933" spans="9:9" s="55" customFormat="1" ht="14.4" customHeight="1">
      <c r="I933" s="75"/>
    </row>
    <row r="934" spans="9:9" s="55" customFormat="1" ht="14.4" customHeight="1">
      <c r="I934" s="75"/>
    </row>
    <row r="935" spans="9:9" s="55" customFormat="1" ht="14.4" customHeight="1">
      <c r="I935" s="75"/>
    </row>
    <row r="936" spans="9:9" s="55" customFormat="1" ht="14.4" customHeight="1">
      <c r="I936" s="75"/>
    </row>
    <row r="937" spans="9:9" s="55" customFormat="1" ht="14.4" customHeight="1">
      <c r="I937" s="75"/>
    </row>
    <row r="938" spans="9:9" s="55" customFormat="1" ht="14.4" customHeight="1">
      <c r="I938" s="75"/>
    </row>
    <row r="939" spans="9:9" s="55" customFormat="1" ht="14.4" customHeight="1">
      <c r="I939" s="75"/>
    </row>
    <row r="940" spans="9:9" s="55" customFormat="1" ht="14.4" customHeight="1">
      <c r="I940" s="75"/>
    </row>
    <row r="941" spans="9:9" s="55" customFormat="1" ht="14.4" customHeight="1">
      <c r="I941" s="75"/>
    </row>
    <row r="942" spans="9:9" s="55" customFormat="1" ht="14.4" customHeight="1">
      <c r="I942" s="75"/>
    </row>
    <row r="943" spans="9:9" s="55" customFormat="1" ht="14.4" customHeight="1">
      <c r="I943" s="75"/>
    </row>
    <row r="944" spans="9:9" s="55" customFormat="1" ht="14.4" customHeight="1">
      <c r="I944" s="75"/>
    </row>
    <row r="945" spans="9:9" s="55" customFormat="1" ht="14.4" customHeight="1">
      <c r="I945" s="75"/>
    </row>
    <row r="946" spans="9:9" s="55" customFormat="1" ht="14.4" customHeight="1">
      <c r="I946" s="75"/>
    </row>
    <row r="947" spans="9:9" s="55" customFormat="1" ht="14.4" customHeight="1">
      <c r="I947" s="75"/>
    </row>
    <row r="948" spans="9:9" s="55" customFormat="1" ht="14.4" customHeight="1">
      <c r="I948" s="75"/>
    </row>
    <row r="949" spans="9:9" s="55" customFormat="1" ht="14.4" customHeight="1">
      <c r="I949" s="75"/>
    </row>
    <row r="950" spans="9:9" s="55" customFormat="1" ht="14.4" customHeight="1">
      <c r="I950" s="75"/>
    </row>
    <row r="951" spans="9:9" s="55" customFormat="1" ht="14.4" customHeight="1">
      <c r="I951" s="75"/>
    </row>
    <row r="952" spans="9:9" s="55" customFormat="1" ht="14.4" customHeight="1">
      <c r="I952" s="75"/>
    </row>
    <row r="953" spans="9:9" s="55" customFormat="1" ht="14.4" customHeight="1">
      <c r="I953" s="75"/>
    </row>
    <row r="954" spans="9:9" s="55" customFormat="1" ht="14.4" customHeight="1">
      <c r="I954" s="75"/>
    </row>
    <row r="955" spans="9:9" s="55" customFormat="1" ht="14.4" customHeight="1">
      <c r="I955" s="75"/>
    </row>
    <row r="956" spans="9:9" s="55" customFormat="1" ht="14.4" customHeight="1">
      <c r="I956" s="75"/>
    </row>
    <row r="957" spans="9:9" s="55" customFormat="1" ht="14.4" customHeight="1">
      <c r="I957" s="75"/>
    </row>
    <row r="958" spans="9:9" s="55" customFormat="1" ht="14.4" customHeight="1">
      <c r="I958" s="75"/>
    </row>
    <row r="959" spans="9:9" s="55" customFormat="1" ht="14.4" customHeight="1">
      <c r="I959" s="75"/>
    </row>
    <row r="960" spans="9:9" s="55" customFormat="1" ht="14.4" customHeight="1">
      <c r="I960" s="75"/>
    </row>
    <row r="961" spans="9:9" s="55" customFormat="1" ht="14.4" customHeight="1">
      <c r="I961" s="75"/>
    </row>
    <row r="962" spans="9:9" s="55" customFormat="1" ht="14.4" customHeight="1">
      <c r="I962" s="75"/>
    </row>
    <row r="963" spans="9:9" s="55" customFormat="1" ht="14.4" customHeight="1">
      <c r="I963" s="75"/>
    </row>
    <row r="964" spans="9:9" s="55" customFormat="1" ht="14.4" customHeight="1">
      <c r="I964" s="75"/>
    </row>
    <row r="965" spans="9:9" s="55" customFormat="1" ht="14.4" customHeight="1">
      <c r="I965" s="75"/>
    </row>
    <row r="966" spans="9:9" s="55" customFormat="1" ht="14.4" customHeight="1">
      <c r="I966" s="75"/>
    </row>
    <row r="967" spans="9:9" s="55" customFormat="1" ht="14.4" customHeight="1">
      <c r="I967" s="75"/>
    </row>
    <row r="968" spans="9:9" s="55" customFormat="1" ht="14.4" customHeight="1">
      <c r="I968" s="75"/>
    </row>
    <row r="969" spans="9:9" s="55" customFormat="1" ht="14.4" customHeight="1">
      <c r="I969" s="75"/>
    </row>
    <row r="970" spans="9:9" s="55" customFormat="1" ht="14.4" customHeight="1">
      <c r="I970" s="75"/>
    </row>
    <row r="971" spans="9:9" s="55" customFormat="1" ht="14.4" customHeight="1">
      <c r="I971" s="75"/>
    </row>
    <row r="972" spans="9:9" s="55" customFormat="1" ht="14.4" customHeight="1">
      <c r="I972" s="75"/>
    </row>
    <row r="973" spans="9:9" s="55" customFormat="1" ht="14.4" customHeight="1">
      <c r="I973" s="75"/>
    </row>
    <row r="974" spans="9:9" s="55" customFormat="1" ht="14.4" customHeight="1">
      <c r="I974" s="75"/>
    </row>
    <row r="975" spans="9:9" s="55" customFormat="1" ht="14.4" customHeight="1">
      <c r="I975" s="75"/>
    </row>
    <row r="976" spans="9:9" s="55" customFormat="1" ht="14.4" customHeight="1">
      <c r="I976" s="75"/>
    </row>
    <row r="977" spans="9:9" s="55" customFormat="1" ht="14.4" customHeight="1">
      <c r="I977" s="75"/>
    </row>
    <row r="978" spans="9:9" s="55" customFormat="1" ht="14.4" customHeight="1">
      <c r="I978" s="75"/>
    </row>
    <row r="979" spans="9:9" s="55" customFormat="1" ht="14.4" customHeight="1">
      <c r="I979" s="75"/>
    </row>
    <row r="980" spans="9:9" s="55" customFormat="1" ht="14.4" customHeight="1">
      <c r="I980" s="75"/>
    </row>
    <row r="981" spans="9:9" s="55" customFormat="1" ht="14.4" customHeight="1">
      <c r="I981" s="75"/>
    </row>
    <row r="982" spans="9:9" s="55" customFormat="1" ht="14.4" customHeight="1">
      <c r="I982" s="75"/>
    </row>
    <row r="983" spans="9:9" s="55" customFormat="1" ht="14.4" customHeight="1">
      <c r="I983" s="75"/>
    </row>
    <row r="984" spans="9:9" s="55" customFormat="1" ht="14.4" customHeight="1">
      <c r="I984" s="75"/>
    </row>
    <row r="985" spans="9:9" s="55" customFormat="1" ht="14.4" customHeight="1">
      <c r="I985" s="75"/>
    </row>
    <row r="986" spans="9:9" s="55" customFormat="1" ht="14.4" customHeight="1">
      <c r="I986" s="75"/>
    </row>
    <row r="987" spans="9:9" s="55" customFormat="1" ht="14.4" customHeight="1">
      <c r="I987" s="75"/>
    </row>
    <row r="988" spans="9:9" s="55" customFormat="1" ht="14.4" customHeight="1">
      <c r="I988" s="75"/>
    </row>
    <row r="989" spans="9:9" s="55" customFormat="1" ht="14.4" customHeight="1">
      <c r="I989" s="75"/>
    </row>
    <row r="990" spans="9:9" s="55" customFormat="1" ht="14.4" customHeight="1">
      <c r="I990" s="75"/>
    </row>
    <row r="991" spans="9:9" s="55" customFormat="1" ht="14.4" customHeight="1">
      <c r="I991" s="75"/>
    </row>
    <row r="992" spans="9:9" s="55" customFormat="1" ht="14.4" customHeight="1">
      <c r="I992" s="75"/>
    </row>
    <row r="993" spans="9:9" s="55" customFormat="1" ht="14.4" customHeight="1">
      <c r="I993" s="75"/>
    </row>
    <row r="994" spans="9:9" s="55" customFormat="1" ht="14.4" customHeight="1">
      <c r="I994" s="75"/>
    </row>
    <row r="995" spans="9:9" s="55" customFormat="1" ht="14.4" customHeight="1">
      <c r="I995" s="75"/>
    </row>
    <row r="996" spans="9:9" s="55" customFormat="1" ht="14.4" customHeight="1">
      <c r="I996" s="75"/>
    </row>
    <row r="997" spans="9:9" s="55" customFormat="1" ht="14.4" customHeight="1">
      <c r="I997" s="75"/>
    </row>
    <row r="998" spans="9:9" s="55" customFormat="1" ht="14.4" customHeight="1">
      <c r="I998" s="75"/>
    </row>
    <row r="999" spans="9:9" s="55" customFormat="1" ht="14.4" customHeight="1">
      <c r="I999" s="75"/>
    </row>
    <row r="1000" spans="9:9" s="55" customFormat="1" ht="14.4" customHeight="1">
      <c r="I1000" s="75"/>
    </row>
    <row r="1001" spans="9:9" s="55" customFormat="1" ht="14.4" customHeight="1">
      <c r="I1001" s="75"/>
    </row>
    <row r="1002" spans="9:9" s="55" customFormat="1" ht="14.4" customHeight="1">
      <c r="I1002" s="75"/>
    </row>
    <row r="1003" spans="9:9" s="55" customFormat="1" ht="14.4" customHeight="1">
      <c r="I1003" s="75"/>
    </row>
    <row r="1004" spans="9:9" s="55" customFormat="1" ht="14.4" customHeight="1">
      <c r="I1004" s="75"/>
    </row>
    <row r="1005" spans="9:9" s="55" customFormat="1" ht="14.4" customHeight="1">
      <c r="I1005" s="75"/>
    </row>
    <row r="1006" spans="9:9" s="55" customFormat="1" ht="14.4" customHeight="1">
      <c r="I1006" s="75"/>
    </row>
    <row r="1007" spans="9:9" s="55" customFormat="1" ht="14.4" customHeight="1">
      <c r="I1007" s="75"/>
    </row>
    <row r="1008" spans="9:9" s="55" customFormat="1" ht="14.4" customHeight="1">
      <c r="I1008" s="75"/>
    </row>
    <row r="1009" spans="9:9" s="55" customFormat="1" ht="14.4" customHeight="1">
      <c r="I1009" s="75"/>
    </row>
    <row r="1010" spans="9:9" s="55" customFormat="1" ht="14.4" customHeight="1">
      <c r="I1010" s="75"/>
    </row>
    <row r="1011" spans="9:9" s="55" customFormat="1" ht="14.4" customHeight="1">
      <c r="I1011" s="75"/>
    </row>
    <row r="1012" spans="9:9" s="55" customFormat="1" ht="14.4" customHeight="1">
      <c r="I1012" s="75"/>
    </row>
    <row r="1013" spans="9:9" s="55" customFormat="1" ht="14.4" customHeight="1">
      <c r="I1013" s="75"/>
    </row>
    <row r="1014" spans="9:9" s="55" customFormat="1" ht="14.4" customHeight="1">
      <c r="I1014" s="75"/>
    </row>
    <row r="1015" spans="9:9" s="55" customFormat="1" ht="14.4" customHeight="1">
      <c r="I1015" s="75"/>
    </row>
    <row r="1016" spans="9:9" s="55" customFormat="1" ht="14.4" customHeight="1">
      <c r="I1016" s="75"/>
    </row>
    <row r="1017" spans="9:9" s="55" customFormat="1" ht="14.4" customHeight="1">
      <c r="I1017" s="75"/>
    </row>
    <row r="1018" spans="9:9" s="55" customFormat="1" ht="14.4" customHeight="1">
      <c r="I1018" s="75"/>
    </row>
    <row r="1019" spans="9:9" s="55" customFormat="1" ht="14.4" customHeight="1">
      <c r="I1019" s="75"/>
    </row>
    <row r="1020" spans="9:9" s="55" customFormat="1" ht="14.4" customHeight="1">
      <c r="I1020" s="75"/>
    </row>
    <row r="1021" spans="9:9" s="55" customFormat="1" ht="14.4" customHeight="1">
      <c r="I1021" s="75"/>
    </row>
    <row r="1022" spans="9:9" s="55" customFormat="1" ht="14.4" customHeight="1">
      <c r="I1022" s="75"/>
    </row>
    <row r="1023" spans="9:9" s="55" customFormat="1" ht="14.4" customHeight="1">
      <c r="I1023" s="75"/>
    </row>
    <row r="1024" spans="9:9" s="55" customFormat="1" ht="14.4" customHeight="1">
      <c r="I1024" s="75"/>
    </row>
    <row r="1025" spans="9:9" s="55" customFormat="1" ht="14.4" customHeight="1">
      <c r="I1025" s="75"/>
    </row>
    <row r="1026" spans="9:9" s="55" customFormat="1" ht="14.4" customHeight="1">
      <c r="I1026" s="75"/>
    </row>
    <row r="1027" spans="9:9" s="55" customFormat="1" ht="14.4" customHeight="1">
      <c r="I1027" s="75"/>
    </row>
    <row r="1028" spans="9:9" s="55" customFormat="1" ht="14.4" customHeight="1">
      <c r="I1028" s="75"/>
    </row>
    <row r="1029" spans="9:9" s="55" customFormat="1" ht="14.4" customHeight="1">
      <c r="I1029" s="75"/>
    </row>
    <row r="1030" spans="9:9" s="55" customFormat="1" ht="14.4" customHeight="1">
      <c r="I1030" s="75"/>
    </row>
    <row r="1031" spans="9:9" s="55" customFormat="1" ht="14.4" customHeight="1">
      <c r="I1031" s="75"/>
    </row>
    <row r="1032" spans="9:9" s="55" customFormat="1" ht="14.4" customHeight="1">
      <c r="I1032" s="75"/>
    </row>
    <row r="1033" spans="9:9" s="55" customFormat="1" ht="14.4" customHeight="1">
      <c r="I1033" s="75"/>
    </row>
    <row r="1034" spans="9:9" s="55" customFormat="1" ht="14.4" customHeight="1">
      <c r="I1034" s="75"/>
    </row>
    <row r="1035" spans="9:9" s="55" customFormat="1" ht="14.4" customHeight="1">
      <c r="I1035" s="75"/>
    </row>
    <row r="1036" spans="9:9" s="55" customFormat="1" ht="14.4" customHeight="1">
      <c r="I1036" s="75"/>
    </row>
    <row r="1037" spans="9:9" s="55" customFormat="1" ht="14.4" customHeight="1">
      <c r="I1037" s="75"/>
    </row>
    <row r="1038" spans="9:9" s="55" customFormat="1" ht="14.4" customHeight="1">
      <c r="I1038" s="75"/>
    </row>
    <row r="1039" spans="9:9" s="55" customFormat="1" ht="14.4" customHeight="1">
      <c r="I1039" s="75"/>
    </row>
    <row r="1040" spans="9:9" s="55" customFormat="1" ht="14.4" customHeight="1">
      <c r="I1040" s="75"/>
    </row>
    <row r="1041" spans="9:9" s="55" customFormat="1" ht="14.4" customHeight="1">
      <c r="I1041" s="75"/>
    </row>
    <row r="1042" spans="9:9" s="55" customFormat="1" ht="14.4" customHeight="1">
      <c r="I1042" s="75"/>
    </row>
    <row r="1043" spans="9:9" s="55" customFormat="1" ht="14.4" customHeight="1">
      <c r="I1043" s="75"/>
    </row>
    <row r="1044" spans="9:9" s="55" customFormat="1" ht="14.4" customHeight="1">
      <c r="I1044" s="75"/>
    </row>
    <row r="1045" spans="9:9" s="55" customFormat="1" ht="14.4" customHeight="1">
      <c r="I1045" s="75"/>
    </row>
    <row r="1046" spans="9:9" s="55" customFormat="1" ht="14.4" customHeight="1">
      <c r="I1046" s="75"/>
    </row>
    <row r="1047" spans="9:9" s="55" customFormat="1" ht="14.4" customHeight="1">
      <c r="I1047" s="75"/>
    </row>
    <row r="1048" spans="9:9" s="55" customFormat="1" ht="14.4" customHeight="1">
      <c r="I1048" s="75"/>
    </row>
    <row r="1049" spans="9:9" s="55" customFormat="1" ht="14.4" customHeight="1">
      <c r="I1049" s="75"/>
    </row>
    <row r="1050" spans="9:9" s="55" customFormat="1" ht="14.4" customHeight="1">
      <c r="I1050" s="75"/>
    </row>
    <row r="1051" spans="9:9" s="55" customFormat="1" ht="14.4" customHeight="1">
      <c r="I1051" s="75"/>
    </row>
    <row r="1052" spans="9:9" s="55" customFormat="1" ht="14.4" customHeight="1">
      <c r="I1052" s="75"/>
    </row>
    <row r="1053" spans="9:9" s="55" customFormat="1" ht="14.4" customHeight="1">
      <c r="I1053" s="75"/>
    </row>
    <row r="1054" spans="9:9" s="55" customFormat="1" ht="14.4" customHeight="1">
      <c r="I1054" s="75"/>
    </row>
    <row r="1055" spans="9:9" s="55" customFormat="1" ht="14.4" customHeight="1">
      <c r="I1055" s="75"/>
    </row>
    <row r="1056" spans="9:9" s="55" customFormat="1" ht="14.4" customHeight="1">
      <c r="I1056" s="75"/>
    </row>
    <row r="1057" spans="9:9" s="55" customFormat="1" ht="14.4" customHeight="1">
      <c r="I1057" s="75"/>
    </row>
    <row r="1058" spans="9:9" s="55" customFormat="1" ht="14.4" customHeight="1">
      <c r="I1058" s="75"/>
    </row>
    <row r="1059" spans="9:9" s="55" customFormat="1" ht="14.4" customHeight="1">
      <c r="I1059" s="75"/>
    </row>
    <row r="1060" spans="9:9" s="55" customFormat="1" ht="14.4" customHeight="1">
      <c r="I1060" s="75"/>
    </row>
    <row r="1061" spans="9:9" s="55" customFormat="1" ht="14.4" customHeight="1">
      <c r="I1061" s="75"/>
    </row>
    <row r="1062" spans="9:9" s="55" customFormat="1" ht="14.4" customHeight="1">
      <c r="I1062" s="75"/>
    </row>
    <row r="1063" spans="9:9" s="55" customFormat="1" ht="14.4" customHeight="1">
      <c r="I1063" s="75"/>
    </row>
    <row r="1064" spans="9:9" s="55" customFormat="1" ht="14.4" customHeight="1">
      <c r="I1064" s="75"/>
    </row>
    <row r="1065" spans="9:9" s="55" customFormat="1" ht="14.4" customHeight="1">
      <c r="I1065" s="75"/>
    </row>
    <row r="1066" spans="9:9" s="55" customFormat="1" ht="14.4" customHeight="1">
      <c r="I1066" s="75"/>
    </row>
    <row r="1067" spans="9:9" s="55" customFormat="1" ht="14.4" customHeight="1">
      <c r="I1067" s="75"/>
    </row>
    <row r="1068" spans="9:9" s="55" customFormat="1" ht="14.4" customHeight="1">
      <c r="I1068" s="75"/>
    </row>
    <row r="1069" spans="9:9" s="55" customFormat="1" ht="14.4" customHeight="1">
      <c r="I1069" s="75"/>
    </row>
    <row r="1070" spans="9:9" s="55" customFormat="1" ht="14.4" customHeight="1">
      <c r="I1070" s="75"/>
    </row>
    <row r="1071" spans="9:9" s="55" customFormat="1" ht="14.4" customHeight="1">
      <c r="I1071" s="75"/>
    </row>
    <row r="1072" spans="9:9" s="55" customFormat="1" ht="14.4" customHeight="1">
      <c r="I1072" s="75"/>
    </row>
    <row r="1073" spans="9:9" s="55" customFormat="1" ht="14.4" customHeight="1">
      <c r="I1073" s="75"/>
    </row>
    <row r="1074" spans="9:9" s="55" customFormat="1" ht="14.4" customHeight="1">
      <c r="I1074" s="75"/>
    </row>
    <row r="1075" spans="9:9" s="55" customFormat="1" ht="14.4" customHeight="1">
      <c r="I1075" s="75"/>
    </row>
    <row r="1076" spans="9:9" s="55" customFormat="1" ht="14.4" customHeight="1">
      <c r="I1076" s="75"/>
    </row>
    <row r="1077" spans="9:9" s="55" customFormat="1" ht="14.4" customHeight="1">
      <c r="I1077" s="75"/>
    </row>
    <row r="1078" spans="9:9" s="55" customFormat="1" ht="14.4" customHeight="1">
      <c r="I1078" s="75"/>
    </row>
    <row r="1079" spans="9:9" s="55" customFormat="1" ht="14.4" customHeight="1">
      <c r="I1079" s="75"/>
    </row>
    <row r="1080" spans="9:9" s="55" customFormat="1" ht="14.4" customHeight="1">
      <c r="I1080" s="75"/>
    </row>
    <row r="1081" spans="9:9" s="55" customFormat="1" ht="14.4" customHeight="1">
      <c r="I1081" s="75"/>
    </row>
    <row r="1082" spans="9:9" s="55" customFormat="1" ht="14.4" customHeight="1">
      <c r="I1082" s="75"/>
    </row>
    <row r="1083" spans="9:9" s="55" customFormat="1" ht="14.4" customHeight="1">
      <c r="I1083" s="75"/>
    </row>
    <row r="1084" spans="9:9" s="55" customFormat="1" ht="14.4" customHeight="1">
      <c r="I1084" s="75"/>
    </row>
    <row r="1085" spans="9:9" s="55" customFormat="1" ht="14.4" customHeight="1">
      <c r="I1085" s="75"/>
    </row>
    <row r="1086" spans="9:9" s="55" customFormat="1" ht="14.4" customHeight="1">
      <c r="I1086" s="75"/>
    </row>
    <row r="1087" spans="9:9" s="55" customFormat="1" ht="14.4" customHeight="1">
      <c r="I1087" s="75"/>
    </row>
    <row r="1088" spans="9:9" s="55" customFormat="1" ht="14.4" customHeight="1">
      <c r="I1088" s="75"/>
    </row>
    <row r="1089" spans="9:9" s="55" customFormat="1" ht="14.4" customHeight="1">
      <c r="I1089" s="75"/>
    </row>
    <row r="1090" spans="9:9" s="55" customFormat="1" ht="14.4" customHeight="1">
      <c r="I1090" s="75"/>
    </row>
    <row r="1091" spans="9:9" s="55" customFormat="1" ht="14.4" customHeight="1">
      <c r="I1091" s="75"/>
    </row>
    <row r="1092" spans="9:9" s="55" customFormat="1" ht="14.4" customHeight="1">
      <c r="I1092" s="75"/>
    </row>
    <row r="1093" spans="9:9" s="55" customFormat="1" ht="14.4" customHeight="1">
      <c r="I1093" s="75"/>
    </row>
    <row r="1094" spans="9:9" s="55" customFormat="1" ht="14.4" customHeight="1">
      <c r="I1094" s="75"/>
    </row>
    <row r="1095" spans="9:9" s="55" customFormat="1" ht="14.4" customHeight="1">
      <c r="I1095" s="75"/>
    </row>
    <row r="1096" spans="9:9" s="55" customFormat="1" ht="14.4" customHeight="1">
      <c r="I1096" s="75"/>
    </row>
    <row r="1097" spans="9:9" s="55" customFormat="1" ht="14.4" customHeight="1">
      <c r="I1097" s="75"/>
    </row>
    <row r="1098" spans="9:9" s="55" customFormat="1" ht="14.4" customHeight="1">
      <c r="I1098" s="75"/>
    </row>
    <row r="1099" spans="9:9" s="55" customFormat="1" ht="14.4" customHeight="1">
      <c r="I1099" s="75"/>
    </row>
    <row r="1100" spans="9:9" s="55" customFormat="1" ht="14.4" customHeight="1">
      <c r="I1100" s="75"/>
    </row>
    <row r="1101" spans="9:9" s="55" customFormat="1" ht="14.4" customHeight="1">
      <c r="I1101" s="75"/>
    </row>
    <row r="1102" spans="9:9" s="55" customFormat="1" ht="14.4" customHeight="1">
      <c r="I1102" s="75"/>
    </row>
    <row r="1103" spans="9:9" s="55" customFormat="1" ht="14.4" customHeight="1">
      <c r="I1103" s="75"/>
    </row>
    <row r="1104" spans="9:9" s="55" customFormat="1" ht="14.4" customHeight="1">
      <c r="I1104" s="75"/>
    </row>
    <row r="1105" spans="9:9" s="55" customFormat="1" ht="14.4" customHeight="1">
      <c r="I1105" s="75"/>
    </row>
    <row r="1106" spans="9:9" s="55" customFormat="1" ht="14.4" customHeight="1">
      <c r="I1106" s="75"/>
    </row>
    <row r="1107" spans="9:9" s="55" customFormat="1" ht="14.4" customHeight="1">
      <c r="I1107" s="75"/>
    </row>
    <row r="1108" spans="9:9" s="55" customFormat="1" ht="14.4" customHeight="1">
      <c r="I1108" s="75"/>
    </row>
    <row r="1109" spans="9:9" s="55" customFormat="1" ht="14.4" customHeight="1">
      <c r="I1109" s="75"/>
    </row>
    <row r="1110" spans="9:9" s="55" customFormat="1" ht="14.4" customHeight="1">
      <c r="I1110" s="75"/>
    </row>
    <row r="1111" spans="9:9" s="55" customFormat="1" ht="14.4" customHeight="1">
      <c r="I1111" s="75"/>
    </row>
    <row r="1112" spans="9:9" s="55" customFormat="1" ht="14.4" customHeight="1">
      <c r="I1112" s="75"/>
    </row>
    <row r="1113" spans="9:9" s="55" customFormat="1" ht="14.4" customHeight="1">
      <c r="I1113" s="75"/>
    </row>
    <row r="1114" spans="9:9" s="55" customFormat="1" ht="14.4" customHeight="1">
      <c r="I1114" s="75"/>
    </row>
    <row r="1115" spans="9:9" s="55" customFormat="1" ht="14.4" customHeight="1">
      <c r="I1115" s="75"/>
    </row>
    <row r="1116" spans="9:9" s="55" customFormat="1" ht="14.4" customHeight="1">
      <c r="I1116" s="75"/>
    </row>
    <row r="1117" spans="9:9" s="55" customFormat="1" ht="14.4" customHeight="1">
      <c r="I1117" s="75"/>
    </row>
    <row r="1118" spans="9:9" s="55" customFormat="1" ht="14.4" customHeight="1">
      <c r="I1118" s="75"/>
    </row>
    <row r="1119" spans="9:9" s="55" customFormat="1" ht="14.4" customHeight="1">
      <c r="I1119" s="75"/>
    </row>
    <row r="1120" spans="9:9" s="55" customFormat="1" ht="14.4" customHeight="1">
      <c r="I1120" s="75"/>
    </row>
    <row r="1121" spans="9:9" s="55" customFormat="1" ht="14.4" customHeight="1">
      <c r="I1121" s="75"/>
    </row>
    <row r="1122" spans="9:9" s="55" customFormat="1" ht="14.4" customHeight="1">
      <c r="I1122" s="75"/>
    </row>
    <row r="1123" spans="9:9" s="55" customFormat="1" ht="14.4" customHeight="1">
      <c r="I1123" s="75"/>
    </row>
    <row r="1124" spans="9:9" s="55" customFormat="1" ht="14.4" customHeight="1">
      <c r="I1124" s="75"/>
    </row>
    <row r="1125" spans="9:9" s="55" customFormat="1" ht="14.4" customHeight="1">
      <c r="I1125" s="75"/>
    </row>
    <row r="1126" spans="9:9" s="55" customFormat="1" ht="14.4" customHeight="1">
      <c r="I1126" s="75"/>
    </row>
    <row r="1127" spans="9:9" s="55" customFormat="1" ht="14.4" customHeight="1">
      <c r="I1127" s="75"/>
    </row>
    <row r="1128" spans="9:9" s="55" customFormat="1" ht="14.4" customHeight="1">
      <c r="I1128" s="75"/>
    </row>
    <row r="1129" spans="9:9" s="55" customFormat="1" ht="14.4" customHeight="1">
      <c r="I1129" s="75"/>
    </row>
    <row r="1130" spans="9:9" s="55" customFormat="1" ht="14.4" customHeight="1">
      <c r="I1130" s="75"/>
    </row>
    <row r="1131" spans="9:9" s="55" customFormat="1" ht="14.4" customHeight="1">
      <c r="I1131" s="75"/>
    </row>
    <row r="1132" spans="9:9" s="55" customFormat="1" ht="14.4" customHeight="1">
      <c r="I1132" s="75"/>
    </row>
    <row r="1133" spans="9:9" s="55" customFormat="1" ht="14.4" customHeight="1">
      <c r="I1133" s="75"/>
    </row>
    <row r="1134" spans="9:9" s="55" customFormat="1" ht="14.4" customHeight="1">
      <c r="I1134" s="75"/>
    </row>
    <row r="1135" spans="9:9" s="55" customFormat="1" ht="14.4" customHeight="1">
      <c r="I1135" s="75"/>
    </row>
    <row r="1136" spans="9:9" s="55" customFormat="1" ht="14.4" customHeight="1">
      <c r="I1136" s="75"/>
    </row>
    <row r="1137" spans="9:9" s="55" customFormat="1" ht="14.4" customHeight="1">
      <c r="I1137" s="75"/>
    </row>
    <row r="1138" spans="9:9" s="55" customFormat="1" ht="14.4" customHeight="1">
      <c r="I1138" s="75"/>
    </row>
    <row r="1139" spans="9:9" s="55" customFormat="1" ht="14.4" customHeight="1">
      <c r="I1139" s="75"/>
    </row>
    <row r="1140" spans="9:9" s="55" customFormat="1" ht="14.4" customHeight="1">
      <c r="I1140" s="75"/>
    </row>
    <row r="1141" spans="9:9" s="55" customFormat="1" ht="14.4" customHeight="1">
      <c r="I1141" s="75"/>
    </row>
    <row r="1142" spans="9:9" s="55" customFormat="1" ht="14.4" customHeight="1">
      <c r="I1142" s="75"/>
    </row>
    <row r="1143" spans="9:9" s="55" customFormat="1" ht="14.4" customHeight="1">
      <c r="I1143" s="75"/>
    </row>
    <row r="1144" spans="9:9" s="55" customFormat="1" ht="14.4" customHeight="1">
      <c r="I1144" s="75"/>
    </row>
    <row r="1145" spans="9:9" s="55" customFormat="1" ht="14.4" customHeight="1">
      <c r="I1145" s="75"/>
    </row>
    <row r="1146" spans="9:9" s="55" customFormat="1" ht="14.4" customHeight="1">
      <c r="I1146" s="75"/>
    </row>
    <row r="1147" spans="9:9" s="55" customFormat="1" ht="14.4" customHeight="1">
      <c r="I1147" s="75"/>
    </row>
    <row r="1148" spans="9:9" s="55" customFormat="1" ht="14.4" customHeight="1">
      <c r="I1148" s="75"/>
    </row>
    <row r="1149" spans="9:9" s="55" customFormat="1" ht="14.4" customHeight="1">
      <c r="I1149" s="75"/>
    </row>
    <row r="1150" spans="9:9" s="55" customFormat="1" ht="14.4" customHeight="1">
      <c r="I1150" s="75"/>
    </row>
    <row r="1151" spans="9:9" s="55" customFormat="1" ht="14.4" customHeight="1">
      <c r="I1151" s="75"/>
    </row>
    <row r="1152" spans="9:9" s="55" customFormat="1" ht="14.4" customHeight="1">
      <c r="I1152" s="75"/>
    </row>
    <row r="1153" spans="9:9" s="55" customFormat="1" ht="14.4" customHeight="1">
      <c r="I1153" s="75"/>
    </row>
    <row r="1154" spans="9:9" s="55" customFormat="1" ht="14.4" customHeight="1">
      <c r="I1154" s="75"/>
    </row>
    <row r="1155" spans="9:9" s="55" customFormat="1" ht="14.4" customHeight="1">
      <c r="I1155" s="75"/>
    </row>
    <row r="1156" spans="9:9" s="55" customFormat="1" ht="14.4" customHeight="1">
      <c r="I1156" s="75"/>
    </row>
    <row r="1157" spans="9:9" s="55" customFormat="1" ht="14.4" customHeight="1">
      <c r="I1157" s="75"/>
    </row>
    <row r="1158" spans="9:9" s="55" customFormat="1" ht="14.4" customHeight="1">
      <c r="I1158" s="75"/>
    </row>
    <row r="1159" spans="9:9" s="55" customFormat="1" ht="14.4" customHeight="1">
      <c r="I1159" s="75"/>
    </row>
    <row r="1160" spans="9:9" s="55" customFormat="1" ht="14.4" customHeight="1">
      <c r="I1160" s="75"/>
    </row>
    <row r="1161" spans="9:9" s="55" customFormat="1" ht="14.4" customHeight="1">
      <c r="I1161" s="75"/>
    </row>
    <row r="1162" spans="9:9" s="55" customFormat="1" ht="14.4" customHeight="1">
      <c r="I1162" s="75"/>
    </row>
    <row r="1163" spans="9:9" s="55" customFormat="1" ht="14.4" customHeight="1">
      <c r="I1163" s="75"/>
    </row>
    <row r="1164" spans="9:9" s="55" customFormat="1" ht="14.4" customHeight="1">
      <c r="I1164" s="75"/>
    </row>
    <row r="1165" spans="9:9" s="55" customFormat="1" ht="14.4" customHeight="1">
      <c r="I1165" s="75"/>
    </row>
    <row r="1166" spans="9:9" s="55" customFormat="1" ht="14.4" customHeight="1">
      <c r="I1166" s="75"/>
    </row>
    <row r="1167" spans="9:9" s="55" customFormat="1" ht="14.4" customHeight="1">
      <c r="I1167" s="75"/>
    </row>
    <row r="1168" spans="9:9" s="55" customFormat="1" ht="14.4" customHeight="1">
      <c r="I1168" s="75"/>
    </row>
    <row r="1169" spans="9:9" s="55" customFormat="1" ht="14.4" customHeight="1">
      <c r="I1169" s="75"/>
    </row>
    <row r="1170" spans="9:9" s="55" customFormat="1" ht="14.4" customHeight="1">
      <c r="I1170" s="75"/>
    </row>
    <row r="1171" spans="9:9" s="55" customFormat="1" ht="14.4" customHeight="1">
      <c r="I1171" s="75"/>
    </row>
    <row r="1172" spans="9:9" s="55" customFormat="1" ht="14.4" customHeight="1">
      <c r="I1172" s="75"/>
    </row>
    <row r="1173" spans="9:9" s="55" customFormat="1" ht="14.4" customHeight="1">
      <c r="I1173" s="75"/>
    </row>
    <row r="1174" spans="9:9" s="55" customFormat="1" ht="14.4" customHeight="1">
      <c r="I1174" s="75"/>
    </row>
    <row r="1175" spans="9:9" s="55" customFormat="1" ht="14.4" customHeight="1">
      <c r="I1175" s="75"/>
    </row>
    <row r="1176" spans="9:9" s="55" customFormat="1" ht="14.4" customHeight="1">
      <c r="I1176" s="75"/>
    </row>
    <row r="1177" spans="9:9" s="55" customFormat="1" ht="14.4" customHeight="1">
      <c r="I1177" s="75"/>
    </row>
    <row r="1178" spans="9:9" s="55" customFormat="1" ht="14.4" customHeight="1">
      <c r="I1178" s="75"/>
    </row>
    <row r="1179" spans="9:9" s="55" customFormat="1" ht="14.4" customHeight="1">
      <c r="I1179" s="75"/>
    </row>
    <row r="1180" spans="9:9" s="55" customFormat="1" ht="14.4" customHeight="1">
      <c r="I1180" s="75"/>
    </row>
    <row r="1181" spans="9:9" s="55" customFormat="1" ht="14.4" customHeight="1">
      <c r="I1181" s="75"/>
    </row>
    <row r="1182" spans="9:9" s="55" customFormat="1" ht="14.4" customHeight="1">
      <c r="I1182" s="75"/>
    </row>
    <row r="1183" spans="9:9" s="55" customFormat="1" ht="14.4" customHeight="1">
      <c r="I1183" s="75"/>
    </row>
    <row r="1184" spans="9:9" s="55" customFormat="1" ht="14.4" customHeight="1">
      <c r="I1184" s="75"/>
    </row>
    <row r="1185" spans="9:9" s="55" customFormat="1" ht="14.4" customHeight="1">
      <c r="I1185" s="75"/>
    </row>
    <row r="1186" spans="9:9" s="55" customFormat="1" ht="14.4" customHeight="1">
      <c r="I1186" s="75"/>
    </row>
    <row r="1187" spans="9:9" s="55" customFormat="1" ht="14.4" customHeight="1">
      <c r="I1187" s="75"/>
    </row>
    <row r="1188" spans="9:9" s="55" customFormat="1" ht="14.4" customHeight="1">
      <c r="I1188" s="75"/>
    </row>
    <row r="1189" spans="9:9" s="55" customFormat="1" ht="14.4" customHeight="1">
      <c r="I1189" s="75"/>
    </row>
    <row r="1190" spans="9:9" s="55" customFormat="1" ht="14.4" customHeight="1">
      <c r="I1190" s="75"/>
    </row>
    <row r="1191" spans="9:9" s="55" customFormat="1" ht="14.4" customHeight="1">
      <c r="I1191" s="75"/>
    </row>
    <row r="1192" spans="9:9" s="55" customFormat="1" ht="14.4" customHeight="1">
      <c r="I1192" s="75"/>
    </row>
    <row r="1193" spans="9:9" s="55" customFormat="1" ht="14.4" customHeight="1">
      <c r="I1193" s="75"/>
    </row>
    <row r="1194" spans="9:9" s="55" customFormat="1" ht="14.4" customHeight="1">
      <c r="I1194" s="75"/>
    </row>
    <row r="1195" spans="9:9" s="55" customFormat="1" ht="14.4" customHeight="1">
      <c r="I1195" s="75"/>
    </row>
    <row r="1196" spans="9:9" s="55" customFormat="1" ht="14.4" customHeight="1">
      <c r="I1196" s="75"/>
    </row>
    <row r="1197" spans="9:9" s="55" customFormat="1" ht="14.4" customHeight="1">
      <c r="I1197" s="75"/>
    </row>
    <row r="1198" spans="9:9" s="55" customFormat="1" ht="14.4" customHeight="1">
      <c r="I1198" s="75"/>
    </row>
    <row r="1199" spans="9:9" s="55" customFormat="1" ht="14.4" customHeight="1">
      <c r="I1199" s="75"/>
    </row>
    <row r="1200" spans="9:9" s="55" customFormat="1" ht="14.4" customHeight="1">
      <c r="I1200" s="75"/>
    </row>
    <row r="1201" spans="9:9" s="55" customFormat="1" ht="14.4" customHeight="1">
      <c r="I1201" s="75"/>
    </row>
    <row r="1202" spans="9:9" s="55" customFormat="1" ht="14.4" customHeight="1">
      <c r="I1202" s="75"/>
    </row>
    <row r="1203" spans="9:9" s="55" customFormat="1" ht="14.4" customHeight="1">
      <c r="I1203" s="75"/>
    </row>
    <row r="1204" spans="9:9" s="55" customFormat="1" ht="14.4" customHeight="1">
      <c r="I1204" s="75"/>
    </row>
    <row r="1205" spans="9:9" s="55" customFormat="1" ht="14.4" customHeight="1">
      <c r="I1205" s="75"/>
    </row>
    <row r="1206" spans="9:9" s="55" customFormat="1" ht="14.4" customHeight="1">
      <c r="I1206" s="75"/>
    </row>
    <row r="1207" spans="9:9" s="55" customFormat="1" ht="14.4" customHeight="1">
      <c r="I1207" s="75"/>
    </row>
    <row r="1208" spans="9:9" s="55" customFormat="1" ht="14.4" customHeight="1">
      <c r="I1208" s="75"/>
    </row>
    <row r="1209" spans="9:9" s="55" customFormat="1" ht="14.4" customHeight="1">
      <c r="I1209" s="75"/>
    </row>
    <row r="1210" spans="9:9" s="55" customFormat="1" ht="14.4" customHeight="1">
      <c r="I1210" s="75"/>
    </row>
    <row r="1211" spans="9:9" s="55" customFormat="1" ht="14.4" customHeight="1">
      <c r="I1211" s="75"/>
    </row>
    <row r="1212" spans="9:9" s="55" customFormat="1" ht="14.4" customHeight="1">
      <c r="I1212" s="75"/>
    </row>
    <row r="1213" spans="9:9" s="55" customFormat="1" ht="14.4" customHeight="1">
      <c r="I1213" s="75"/>
    </row>
    <row r="1214" spans="9:9" s="55" customFormat="1" ht="14.4" customHeight="1">
      <c r="I1214" s="75"/>
    </row>
    <row r="1215" spans="9:9" s="55" customFormat="1" ht="14.4" customHeight="1">
      <c r="I1215" s="75"/>
    </row>
    <row r="1216" spans="9:9" s="55" customFormat="1" ht="14.4" customHeight="1">
      <c r="I1216" s="75"/>
    </row>
    <row r="1217" spans="9:9" s="55" customFormat="1" ht="14.4" customHeight="1">
      <c r="I1217" s="75"/>
    </row>
    <row r="1218" spans="9:9" s="55" customFormat="1" ht="14.4" customHeight="1">
      <c r="I1218" s="75"/>
    </row>
    <row r="1219" spans="9:9" s="55" customFormat="1" ht="14.4" customHeight="1">
      <c r="I1219" s="75"/>
    </row>
    <row r="1220" spans="9:9" s="55" customFormat="1" ht="14.4" customHeight="1">
      <c r="I1220" s="75"/>
    </row>
    <row r="1221" spans="9:9" s="55" customFormat="1" ht="14.4" customHeight="1">
      <c r="I1221" s="75"/>
    </row>
    <row r="1222" spans="9:9" s="55" customFormat="1" ht="14.4" customHeight="1">
      <c r="I1222" s="75"/>
    </row>
    <row r="1223" spans="9:9" s="55" customFormat="1" ht="14.4" customHeight="1">
      <c r="I1223" s="75"/>
    </row>
    <row r="1224" spans="9:9" s="55" customFormat="1" ht="14.4" customHeight="1">
      <c r="I1224" s="75"/>
    </row>
    <row r="1225" spans="9:9" s="55" customFormat="1" ht="14.4" customHeight="1">
      <c r="I1225" s="75"/>
    </row>
    <row r="1226" spans="9:9" s="55" customFormat="1" ht="14.4" customHeight="1">
      <c r="I1226" s="75"/>
    </row>
    <row r="1227" spans="9:9" s="55" customFormat="1" ht="14.4" customHeight="1">
      <c r="I1227" s="75"/>
    </row>
    <row r="1228" spans="9:9" s="55" customFormat="1" ht="14.4" customHeight="1">
      <c r="I1228" s="75"/>
    </row>
    <row r="1229" spans="9:9" s="55" customFormat="1" ht="14.4" customHeight="1">
      <c r="I1229" s="75"/>
    </row>
    <row r="1230" spans="9:9" s="55" customFormat="1" ht="14.4" customHeight="1">
      <c r="I1230" s="75"/>
    </row>
    <row r="1231" spans="9:9" s="55" customFormat="1" ht="14.4" customHeight="1">
      <c r="I1231" s="75"/>
    </row>
    <row r="1232" spans="9:9" s="55" customFormat="1" ht="14.4" customHeight="1">
      <c r="I1232" s="75"/>
    </row>
    <row r="1233" spans="9:9" s="55" customFormat="1" ht="14.4" customHeight="1">
      <c r="I1233" s="75"/>
    </row>
    <row r="1234" spans="9:9" s="55" customFormat="1" ht="14.4" customHeight="1">
      <c r="I1234" s="75"/>
    </row>
    <row r="1235" spans="9:9" s="55" customFormat="1" ht="14.4" customHeight="1">
      <c r="I1235" s="75"/>
    </row>
    <row r="1236" spans="9:9" s="55" customFormat="1" ht="14.4" customHeight="1">
      <c r="I1236" s="75"/>
    </row>
    <row r="1237" spans="9:9" s="55" customFormat="1" ht="14.4" customHeight="1">
      <c r="I1237" s="75"/>
    </row>
    <row r="1238" spans="9:9" s="55" customFormat="1" ht="14.4" customHeight="1">
      <c r="I1238" s="75"/>
    </row>
    <row r="1239" spans="9:9" s="55" customFormat="1" ht="14.4" customHeight="1">
      <c r="I1239" s="75"/>
    </row>
    <row r="1240" spans="9:9" s="55" customFormat="1" ht="14.4" customHeight="1">
      <c r="I1240" s="75"/>
    </row>
    <row r="1241" spans="9:9" s="55" customFormat="1" ht="14.4" customHeight="1">
      <c r="I1241" s="75"/>
    </row>
    <row r="1242" spans="9:9" s="55" customFormat="1" ht="14.4" customHeight="1">
      <c r="I1242" s="75"/>
    </row>
    <row r="1243" spans="9:9" s="55" customFormat="1" ht="14.4" customHeight="1">
      <c r="I1243" s="75"/>
    </row>
    <row r="1244" spans="9:9" s="55" customFormat="1" ht="14.4" customHeight="1">
      <c r="I1244" s="75"/>
    </row>
    <row r="1245" spans="9:9" s="55" customFormat="1" ht="14.4" customHeight="1">
      <c r="I1245" s="75"/>
    </row>
    <row r="1246" spans="9:9" s="55" customFormat="1" ht="14.4" customHeight="1">
      <c r="I1246" s="75"/>
    </row>
    <row r="1247" spans="9:9" s="55" customFormat="1" ht="14.4" customHeight="1">
      <c r="I1247" s="75"/>
    </row>
    <row r="1248" spans="9:9" s="55" customFormat="1" ht="14.4" customHeight="1">
      <c r="I1248" s="75"/>
    </row>
    <row r="1249" spans="9:9" s="55" customFormat="1" ht="14.4" customHeight="1">
      <c r="I1249" s="75"/>
    </row>
    <row r="1250" spans="9:9" s="55" customFormat="1" ht="14.4" customHeight="1">
      <c r="I1250" s="75"/>
    </row>
    <row r="1251" spans="9:9" s="55" customFormat="1" ht="14.4" customHeight="1">
      <c r="I1251" s="75"/>
    </row>
    <row r="1252" spans="9:9" s="55" customFormat="1" ht="14.4" customHeight="1">
      <c r="I1252" s="75"/>
    </row>
    <row r="1253" spans="9:9" s="55" customFormat="1" ht="14.4" customHeight="1">
      <c r="I1253" s="75"/>
    </row>
    <row r="1254" spans="9:9" s="55" customFormat="1" ht="14.4" customHeight="1">
      <c r="I1254" s="75"/>
    </row>
    <row r="1255" spans="9:9" s="55" customFormat="1" ht="14.4" customHeight="1">
      <c r="I1255" s="75"/>
    </row>
    <row r="1256" spans="9:9" s="55" customFormat="1" ht="14.4" customHeight="1">
      <c r="I1256" s="75"/>
    </row>
    <row r="1257" spans="9:9" s="55" customFormat="1" ht="14.4" customHeight="1">
      <c r="I1257" s="75"/>
    </row>
    <row r="1258" spans="9:9" s="55" customFormat="1" ht="14.4" customHeight="1">
      <c r="I1258" s="75"/>
    </row>
    <row r="1259" spans="9:9" s="55" customFormat="1" ht="14.4" customHeight="1">
      <c r="I1259" s="75"/>
    </row>
    <row r="1260" spans="9:9" s="55" customFormat="1" ht="14.4" customHeight="1">
      <c r="I1260" s="75"/>
    </row>
    <row r="1261" spans="9:9" s="55" customFormat="1" ht="14.4" customHeight="1">
      <c r="I1261" s="75"/>
    </row>
    <row r="1262" spans="9:9" s="55" customFormat="1" ht="14.4" customHeight="1">
      <c r="I1262" s="75"/>
    </row>
    <row r="1263" spans="9:9" s="55" customFormat="1" ht="14.4" customHeight="1">
      <c r="I1263" s="75"/>
    </row>
    <row r="1264" spans="9:9" s="55" customFormat="1" ht="14.4" customHeight="1">
      <c r="I1264" s="75"/>
    </row>
    <row r="1265" spans="9:9" s="55" customFormat="1" ht="14.4" customHeight="1">
      <c r="I1265" s="75"/>
    </row>
    <row r="1266" spans="9:9" s="55" customFormat="1" ht="14.4" customHeight="1">
      <c r="I1266" s="75"/>
    </row>
    <row r="1267" spans="9:9" s="55" customFormat="1" ht="14.4" customHeight="1">
      <c r="I1267" s="75"/>
    </row>
    <row r="1268" spans="9:9" s="55" customFormat="1" ht="14.4" customHeight="1">
      <c r="I1268" s="75"/>
    </row>
    <row r="1269" spans="9:9" s="55" customFormat="1" ht="14.4" customHeight="1">
      <c r="I1269" s="75"/>
    </row>
    <row r="1270" spans="9:9" s="55" customFormat="1" ht="14.4" customHeight="1">
      <c r="I1270" s="75"/>
    </row>
    <row r="1271" spans="9:9" s="55" customFormat="1" ht="14.4" customHeight="1">
      <c r="I1271" s="75"/>
    </row>
    <row r="1272" spans="9:9" s="55" customFormat="1" ht="14.4" customHeight="1">
      <c r="I1272" s="75"/>
    </row>
    <row r="1273" spans="9:9" s="55" customFormat="1" ht="14.4" customHeight="1">
      <c r="I1273" s="75"/>
    </row>
    <row r="1274" spans="9:9" s="55" customFormat="1" ht="14.4" customHeight="1">
      <c r="I1274" s="75"/>
    </row>
    <row r="1275" spans="9:9" s="55" customFormat="1" ht="14.4" customHeight="1">
      <c r="I1275" s="75"/>
    </row>
    <row r="1276" spans="9:9" s="55" customFormat="1" ht="14.4" customHeight="1">
      <c r="I1276" s="75"/>
    </row>
    <row r="1277" spans="9:9" s="55" customFormat="1" ht="14.4" customHeight="1">
      <c r="I1277" s="75"/>
    </row>
    <row r="1278" spans="9:9" s="55" customFormat="1" ht="14.4" customHeight="1">
      <c r="I1278" s="75"/>
    </row>
    <row r="1279" spans="9:9" s="55" customFormat="1" ht="14.4" customHeight="1">
      <c r="I1279" s="75"/>
    </row>
    <row r="1280" spans="9:9" s="55" customFormat="1" ht="14.4" customHeight="1">
      <c r="I1280" s="75"/>
    </row>
    <row r="1281" spans="9:9" s="55" customFormat="1" ht="14.4" customHeight="1">
      <c r="I1281" s="75"/>
    </row>
    <row r="1282" spans="9:9" s="55" customFormat="1" ht="14.4" customHeight="1">
      <c r="I1282" s="75"/>
    </row>
    <row r="1283" spans="9:9" s="55" customFormat="1" ht="14.4" customHeight="1">
      <c r="I1283" s="75"/>
    </row>
    <row r="1284" spans="9:9" s="55" customFormat="1" ht="14.4" customHeight="1">
      <c r="I1284" s="75"/>
    </row>
    <row r="1285" spans="9:9" s="55" customFormat="1" ht="14.4" customHeight="1">
      <c r="I1285" s="75"/>
    </row>
    <row r="1286" spans="9:9" s="55" customFormat="1" ht="14.4" customHeight="1">
      <c r="I1286" s="75"/>
    </row>
    <row r="1287" spans="9:9" s="55" customFormat="1" ht="14.4" customHeight="1">
      <c r="I1287" s="75"/>
    </row>
    <row r="1288" spans="9:9" s="55" customFormat="1" ht="14.4" customHeight="1">
      <c r="I1288" s="75"/>
    </row>
    <row r="1289" spans="9:9" s="55" customFormat="1" ht="14.4" customHeight="1">
      <c r="I1289" s="75"/>
    </row>
    <row r="1290" spans="9:9" s="55" customFormat="1" ht="14.4" customHeight="1">
      <c r="I1290" s="75"/>
    </row>
    <row r="1291" spans="9:9" s="55" customFormat="1" ht="14.4" customHeight="1">
      <c r="I1291" s="75"/>
    </row>
    <row r="1292" spans="9:9" s="55" customFormat="1" ht="14.4" customHeight="1">
      <c r="I1292" s="75"/>
    </row>
    <row r="1293" spans="9:9" s="55" customFormat="1" ht="14.4" customHeight="1">
      <c r="I1293" s="75"/>
    </row>
    <row r="1294" spans="9:9" s="55" customFormat="1" ht="14.4" customHeight="1">
      <c r="I1294" s="75"/>
    </row>
    <row r="1295" spans="9:9" ht="14.4" customHeight="1"/>
    <row r="1296" spans="9:9" ht="14.4" customHeight="1"/>
    <row r="1297" ht="14.4" customHeight="1"/>
    <row r="1298" ht="14.4" customHeight="1"/>
    <row r="1299" ht="14.4" customHeight="1"/>
    <row r="1300" ht="14.4" customHeight="1"/>
    <row r="1301" ht="14.4" customHeight="1"/>
    <row r="1302" ht="14.4" customHeight="1"/>
    <row r="1303" ht="14.4" customHeight="1"/>
    <row r="1304" ht="14.4" customHeight="1"/>
    <row r="1305" ht="14.4" customHeight="1"/>
    <row r="1306" ht="14.4" customHeight="1"/>
    <row r="1307" ht="14.4" customHeight="1"/>
    <row r="1308" ht="14.4" customHeight="1"/>
    <row r="1309" ht="14.4" customHeight="1"/>
    <row r="1310" ht="14.4" customHeight="1"/>
    <row r="1311" ht="14.4" customHeight="1"/>
    <row r="1312" ht="14.4" customHeight="1"/>
    <row r="1313" ht="14.4" customHeight="1"/>
    <row r="1314" ht="14.4" customHeight="1"/>
    <row r="1315" ht="14.4" customHeight="1"/>
    <row r="1316" ht="14.4" customHeight="1"/>
    <row r="1317" ht="14.4" customHeight="1"/>
    <row r="1318" ht="14.4" customHeight="1"/>
    <row r="1319" ht="14.4" customHeight="1"/>
    <row r="1320" ht="14.4" customHeight="1"/>
    <row r="1321" ht="14.4" customHeight="1"/>
    <row r="1322" ht="14.4" customHeight="1"/>
    <row r="1323" ht="14.4" customHeight="1"/>
    <row r="1324" ht="14.4" customHeight="1"/>
    <row r="1325" ht="14.4" customHeight="1"/>
  </sheetData>
  <phoneticPr fontId="21" type="noConversion"/>
  <conditionalFormatting sqref="D1">
    <cfRule type="containsText" dxfId="11" priority="10" operator="containsText" text=" ">
      <formula>NOT(ISERROR(SEARCH(" ",D1)))</formula>
    </cfRule>
  </conditionalFormatting>
  <conditionalFormatting sqref="A4:B4">
    <cfRule type="containsText" dxfId="10" priority="5" operator="containsText" text=" ">
      <formula>NOT(ISERROR(SEARCH(" ",A4)))</formula>
    </cfRule>
  </conditionalFormatting>
  <conditionalFormatting sqref="A8:C8">
    <cfRule type="containsText" dxfId="9" priority="1" operator="containsText" text=" ">
      <formula>NOT(ISERROR(SEARCH(" ",A8)))</formula>
    </cfRule>
  </conditionalFormatting>
  <conditionalFormatting sqref="A5:C7 A4:B4 A1:C1">
    <cfRule type="containsText" dxfId="8" priority="12" operator="containsText" text=" ">
      <formula>NOT(ISERROR(SEARCH(" ",A1)))</formula>
    </cfRule>
  </conditionalFormatting>
  <dataValidations count="2">
    <dataValidation type="list" allowBlank="1" showInputMessage="1" showErrorMessage="1" sqref="A1">
      <formula1>#REF!</formula1>
    </dataValidation>
    <dataValidation type="list" allowBlank="1" showInputMessage="1" showErrorMessage="1" sqref="B1 B4:B8">
      <formula1>"等于,包含,IN,大于等,小于等"</formula1>
    </dataValidation>
  </dataValidations>
  <hyperlinks>
    <hyperlink ref="J4" r:id="rId1"/>
  </hyperlinks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UploadExcel">
                <anchor moveWithCells="1">
                  <from>
                    <xdr:col>7</xdr:col>
                    <xdr:colOff>7620</xdr:colOff>
                    <xdr:row>0</xdr:row>
                    <xdr:rowOff>0</xdr:rowOff>
                  </from>
                  <to>
                    <xdr:col>7</xdr:col>
                    <xdr:colOff>1013460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Pict="0" macro="[0]!UpdateBySheet">
                <anchor moveWithCells="1">
                  <from>
                    <xdr:col>6</xdr:col>
                    <xdr:colOff>289560</xdr:colOff>
                    <xdr:row>0</xdr:row>
                    <xdr:rowOff>0</xdr:rowOff>
                  </from>
                  <to>
                    <xdr:col>6</xdr:col>
                    <xdr:colOff>1318260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7" name="Button 17">
              <controlPr defaultSize="0" print="0" autoFill="0" autoPict="0" macro="[0]!updatesheet2">
                <anchor moveWithCells="1" sizeWithCells="1">
                  <from>
                    <xdr:col>10</xdr:col>
                    <xdr:colOff>106680</xdr:colOff>
                    <xdr:row>0</xdr:row>
                    <xdr:rowOff>0</xdr:rowOff>
                  </from>
                  <to>
                    <xdr:col>12</xdr:col>
                    <xdr:colOff>251460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A4:A8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X1223"/>
  <sheetViews>
    <sheetView workbookViewId="0">
      <selection activeCell="J5" sqref="J5"/>
    </sheetView>
  </sheetViews>
  <sheetFormatPr defaultColWidth="9" defaultRowHeight="14.4"/>
  <cols>
    <col min="1" max="1" width="30.44140625" style="55" customWidth="1"/>
    <col min="2" max="2" width="12.109375" style="55" customWidth="1"/>
    <col min="3" max="3" width="14" style="55" customWidth="1"/>
    <col min="4" max="4" width="12.6640625" style="54" customWidth="1"/>
    <col min="5" max="5" width="13" style="55" customWidth="1"/>
    <col min="6" max="6" width="14.21875" style="55" customWidth="1"/>
    <col min="7" max="7" width="20.77734375" style="55" customWidth="1"/>
    <col min="8" max="8" width="15.33203125" style="55" customWidth="1"/>
    <col min="9" max="10" width="3.44140625" style="55" customWidth="1"/>
    <col min="11" max="11" width="2.44140625" style="55" customWidth="1"/>
    <col min="12" max="12" width="9.77734375" style="55" customWidth="1"/>
    <col min="13" max="13" width="14.109375" style="55" customWidth="1"/>
    <col min="14" max="14" width="6.44140625" style="55" customWidth="1"/>
    <col min="15" max="15" width="6.6640625" style="55" customWidth="1"/>
    <col min="16" max="16" width="11.77734375" style="55" customWidth="1"/>
    <col min="17" max="17" width="7.44140625" style="55" customWidth="1"/>
    <col min="18" max="18" width="8" style="55" customWidth="1"/>
    <col min="19" max="19" width="7.77734375" style="55" customWidth="1"/>
    <col min="20" max="20" width="6.33203125" style="55" customWidth="1"/>
    <col min="21" max="21" width="9" style="55"/>
    <col min="22" max="28" width="8.109375" style="55" customWidth="1"/>
    <col min="29" max="16384" width="9" style="55"/>
  </cols>
  <sheetData>
    <row r="1" spans="1:50" ht="14.4" customHeight="1">
      <c r="A1" s="56" t="s">
        <v>0</v>
      </c>
      <c r="B1" s="57" t="s">
        <v>1</v>
      </c>
      <c r="C1" s="82" t="s">
        <v>230</v>
      </c>
      <c r="D1" s="58"/>
      <c r="E1" s="59" t="s">
        <v>2</v>
      </c>
      <c r="F1" s="82" t="s">
        <v>232</v>
      </c>
      <c r="I1" s="56"/>
      <c r="J1" s="56"/>
      <c r="K1" s="56"/>
      <c r="P1" s="56"/>
      <c r="Q1" s="56"/>
    </row>
    <row r="2" spans="1:50" ht="14.4" customHeight="1">
      <c r="D2" s="52"/>
      <c r="E2" s="59" t="s">
        <v>5</v>
      </c>
      <c r="F2" s="82" t="s">
        <v>233</v>
      </c>
      <c r="G2" s="57"/>
      <c r="H2" s="56"/>
      <c r="I2" s="56"/>
      <c r="J2" s="56"/>
      <c r="K2" s="56"/>
      <c r="N2" s="56"/>
      <c r="O2" s="56"/>
      <c r="P2" s="56"/>
      <c r="Q2" s="56"/>
    </row>
    <row r="3" spans="1:50" ht="14.4" customHeight="1">
      <c r="C3" s="60"/>
      <c r="D3" s="62"/>
      <c r="G3" s="56"/>
      <c r="H3" s="56"/>
      <c r="I3" s="59" t="s">
        <v>7</v>
      </c>
      <c r="J3" s="57" t="s">
        <v>8</v>
      </c>
      <c r="K3" s="56"/>
      <c r="L3" s="59" t="s">
        <v>9</v>
      </c>
      <c r="M3" s="57" t="s">
        <v>10</v>
      </c>
      <c r="N3" s="59" t="s">
        <v>6</v>
      </c>
      <c r="O3" s="69" t="str">
        <f>HYPERLINK(J4&amp;"/index.php/Qwadmin/Udno/addedit.html?sheetname="&amp;C1,J4&amp;"/index.php/Qwadmin/Udno/addedit.html?sheetname="&amp;C1)</f>
        <v>http://aa.r34.cc/index.php/Qwadmin/Udno/addedit.html?sheetname=经费使用测试汇总</v>
      </c>
      <c r="P3" s="56"/>
      <c r="Q3" s="56"/>
    </row>
    <row r="4" spans="1:50" ht="14.4" customHeight="1">
      <c r="A4" s="56"/>
      <c r="B4" s="57"/>
      <c r="C4" s="61"/>
      <c r="D4" s="62"/>
      <c r="E4" s="59"/>
      <c r="F4" s="57"/>
      <c r="G4" s="57"/>
      <c r="H4" s="56"/>
      <c r="I4" s="59" t="s">
        <v>11</v>
      </c>
      <c r="J4" s="70" t="s">
        <v>241</v>
      </c>
      <c r="K4" s="56"/>
      <c r="L4" s="59" t="s">
        <v>12</v>
      </c>
      <c r="M4" s="57" t="s">
        <v>13</v>
      </c>
      <c r="N4" s="59" t="s">
        <v>3</v>
      </c>
      <c r="O4" s="68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http://aa.r34.cc/index.php/Qwadmin/Rwxy/echoteacherdb?conall=;数据表名等于经费使用测试汇总;不显字段等于id,wrpw,data1,data2,ord,rpw,name,pid,custom1,custom2,sheetname;查看密码等于T8O6J3V1BB</v>
      </c>
      <c r="P4" s="56"/>
      <c r="Q4" s="56"/>
    </row>
    <row r="5" spans="1:50" ht="14.4" customHeight="1">
      <c r="A5" s="56"/>
      <c r="B5" s="57"/>
      <c r="C5" s="57"/>
      <c r="D5" s="62"/>
      <c r="E5" s="59" t="s">
        <v>14</v>
      </c>
      <c r="F5" s="63" t="s">
        <v>15</v>
      </c>
      <c r="G5" s="57"/>
      <c r="H5" s="56"/>
      <c r="I5" s="59" t="s">
        <v>16</v>
      </c>
      <c r="J5" s="60" t="s">
        <v>17</v>
      </c>
      <c r="K5" s="56"/>
      <c r="L5" s="59" t="s">
        <v>18</v>
      </c>
      <c r="M5" s="57" t="s">
        <v>19</v>
      </c>
      <c r="N5" s="59" t="s">
        <v>23</v>
      </c>
      <c r="O5" s="71" t="str">
        <f>HYPERLINK(J4&amp;"/index.php/Qwadmin/Rwxy/uniquerydata/rpw/"&amp;F1&amp;".html",J4&amp;"/index.php/Qwadmin/Rwxy/uniquerydata/rpw/"&amp;F1&amp;".html")</f>
        <v>http://aa.r34.cc/index.php/Qwadmin/Rwxy/uniquerydata/rpw/T8O6J3V1BB.html</v>
      </c>
      <c r="P5" s="56"/>
      <c r="Q5" s="56"/>
    </row>
    <row r="6" spans="1:50" ht="14.4" customHeight="1">
      <c r="A6" s="56"/>
      <c r="B6" s="57"/>
      <c r="C6" s="57"/>
      <c r="D6" s="52"/>
      <c r="E6" s="59" t="s">
        <v>20</v>
      </c>
      <c r="F6" s="64" t="s">
        <v>21</v>
      </c>
      <c r="G6" s="57"/>
      <c r="H6" s="56"/>
      <c r="I6" s="59" t="s">
        <v>22</v>
      </c>
      <c r="J6" s="60"/>
      <c r="K6" s="57"/>
      <c r="L6" s="59" t="s">
        <v>26</v>
      </c>
      <c r="M6" s="87" t="s">
        <v>173</v>
      </c>
      <c r="N6" s="81" t="s">
        <v>174</v>
      </c>
      <c r="O6" s="88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http://aa.r34.cc/index.php/Qwadmin/Udno/magrecords/wrpw/251H8837772190/sheetname/经费使用测试汇总.html</v>
      </c>
      <c r="P6" s="56"/>
      <c r="Q6" s="56"/>
    </row>
    <row r="7" spans="1:50" ht="14.4" customHeight="1">
      <c r="A7" s="56"/>
      <c r="B7" s="57"/>
      <c r="C7" s="57"/>
      <c r="D7" s="52"/>
      <c r="E7" s="59"/>
      <c r="F7" s="65"/>
      <c r="G7" s="56"/>
      <c r="H7" s="56"/>
      <c r="I7" s="72" t="s">
        <v>24</v>
      </c>
      <c r="J7" s="73"/>
      <c r="K7" s="56"/>
      <c r="L7" s="59" t="s">
        <v>171</v>
      </c>
      <c r="M7" s="81" t="s">
        <v>172</v>
      </c>
      <c r="P7" s="56"/>
      <c r="Q7" s="56"/>
    </row>
    <row r="8" spans="1:50" ht="14.4" customHeight="1">
      <c r="A8" s="56" t="s">
        <v>27</v>
      </c>
      <c r="B8" s="57" t="s">
        <v>1</v>
      </c>
      <c r="C8" s="76" t="s">
        <v>28</v>
      </c>
      <c r="D8" s="62"/>
      <c r="E8" s="59"/>
      <c r="F8" s="65"/>
      <c r="G8" s="56"/>
      <c r="H8" s="56"/>
      <c r="K8" s="56"/>
      <c r="N8" s="56"/>
      <c r="O8" s="56"/>
      <c r="P8" s="56"/>
      <c r="Q8" s="56"/>
    </row>
    <row r="9" spans="1:50" s="52" customFormat="1" ht="14.4" customHeight="1">
      <c r="A9" s="77" t="s">
        <v>29</v>
      </c>
      <c r="B9" s="77" t="s">
        <v>15</v>
      </c>
      <c r="C9" s="77" t="s">
        <v>21</v>
      </c>
      <c r="D9" s="77" t="s">
        <v>30</v>
      </c>
      <c r="E9" s="77" t="s">
        <v>17</v>
      </c>
      <c r="F9" s="78" t="s">
        <v>31</v>
      </c>
      <c r="G9" s="77" t="s">
        <v>32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9"/>
    </row>
    <row r="10" spans="1:50" s="53" customFormat="1" ht="14.4" customHeight="1"/>
    <row r="11" spans="1:50" s="97" customFormat="1" ht="14.4" customHeight="1">
      <c r="A11" s="95" t="s">
        <v>236</v>
      </c>
      <c r="B11" s="95" t="s">
        <v>237</v>
      </c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96"/>
      <c r="AW11" s="96"/>
      <c r="AX11" s="96"/>
    </row>
    <row r="12" spans="1:50" s="54" customFormat="1" ht="14.4" customHeight="1">
      <c r="A12" s="89" t="s">
        <v>180</v>
      </c>
      <c r="B12" s="89">
        <f>SUMIFS(Sheet1!C:C,Sheet1!A:A,Sheet2!A12,Sheet1!B:B,"收入")-SUMIFS(Sheet1!C:C,Sheet1!A:A,Sheet2!A12,Sheet1!B:B,"支出")</f>
        <v>0</v>
      </c>
      <c r="C12" s="84"/>
      <c r="D12" s="84"/>
      <c r="E12" s="84"/>
      <c r="F12" s="84"/>
      <c r="G12" s="84"/>
      <c r="H12" s="84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</row>
    <row r="13" spans="1:50" s="54" customFormat="1" ht="14.4" customHeight="1">
      <c r="A13" s="89" t="s">
        <v>182</v>
      </c>
      <c r="B13" s="89">
        <f>SUMIFS(Sheet1!C:C,Sheet1!A:A,Sheet2!A13,Sheet1!B:B,"收入")-SUMIFS(Sheet1!C:C,Sheet1!A:A,Sheet2!A13,Sheet1!B:B,"支出")</f>
        <v>9012.5999999999985</v>
      </c>
      <c r="C13" s="80"/>
    </row>
    <row r="14" spans="1:50" s="54" customFormat="1" ht="14.4" customHeight="1">
      <c r="A14" s="89" t="s">
        <v>183</v>
      </c>
      <c r="B14" s="89">
        <f>SUMIFS(Sheet1!C:C,Sheet1!A:A,Sheet2!A14,Sheet1!B:B,"收入")-SUMIFS(Sheet1!C:C,Sheet1!A:A,Sheet2!A14,Sheet1!B:B,"支出")</f>
        <v>0</v>
      </c>
      <c r="C14" s="80"/>
    </row>
    <row r="15" spans="1:50" s="54" customFormat="1" ht="14.4" customHeight="1">
      <c r="A15" s="89" t="s">
        <v>184</v>
      </c>
      <c r="B15" s="89">
        <f>SUMIFS(Sheet1!C:C,Sheet1!A:A,Sheet2!A15,Sheet1!B:B,"收入")-SUMIFS(Sheet1!C:C,Sheet1!A:A,Sheet2!A15,Sheet1!B:B,"支出")</f>
        <v>4641.5</v>
      </c>
      <c r="C15" s="80"/>
    </row>
    <row r="16" spans="1:50" s="54" customFormat="1" ht="14.4" customHeight="1">
      <c r="A16" s="89" t="s">
        <v>185</v>
      </c>
      <c r="B16" s="89">
        <f>SUMIFS(Sheet1!C:C,Sheet1!A:A,Sheet2!A16,Sheet1!B:B,"收入")-SUMIFS(Sheet1!C:C,Sheet1!A:A,Sheet2!A16,Sheet1!B:B,"支出")</f>
        <v>111.13999999999942</v>
      </c>
      <c r="C16" s="80"/>
    </row>
    <row r="17" spans="1:45" s="54" customFormat="1" ht="14.4" customHeight="1">
      <c r="A17" s="89" t="s">
        <v>186</v>
      </c>
      <c r="B17" s="89">
        <f>SUMIFS(Sheet1!C:C,Sheet1!A:A,Sheet2!A17,Sheet1!B:B,"收入")-SUMIFS(Sheet1!C:C,Sheet1!A:A,Sheet2!A17,Sheet1!B:B,"支出")</f>
        <v>7.999999999992724E-2</v>
      </c>
    </row>
    <row r="18" spans="1:45" s="54" customFormat="1" ht="14.4" customHeight="1">
      <c r="A18" s="89" t="s">
        <v>187</v>
      </c>
      <c r="B18" s="89">
        <f>SUMIFS(Sheet1!C:C,Sheet1!A:A,Sheet2!A18,Sheet1!B:B,"收入")-SUMIFS(Sheet1!C:C,Sheet1!A:A,Sheet2!A18,Sheet1!B:B,"支出")</f>
        <v>1177.619999999999</v>
      </c>
      <c r="D18" s="75"/>
    </row>
    <row r="19" spans="1:45" ht="14.4" customHeight="1">
      <c r="A19" s="89" t="s">
        <v>189</v>
      </c>
      <c r="B19" s="89">
        <f>SUMIFS(Sheet1!C:C,Sheet1!A:A,Sheet2!A19,Sheet1!B:B,"收入")-SUMIFS(Sheet1!C:C,Sheet1!A:A,Sheet2!A19,Sheet1!B:B,"支出")</f>
        <v>16487.3</v>
      </c>
      <c r="C19" s="54"/>
      <c r="D19" s="75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</row>
    <row r="20" spans="1:45" ht="14.4" customHeight="1">
      <c r="D20" s="55"/>
      <c r="I20" s="75"/>
    </row>
    <row r="21" spans="1:45" ht="14.4" customHeight="1">
      <c r="D21" s="55"/>
      <c r="I21" s="75"/>
    </row>
    <row r="22" spans="1:45" ht="14.4" customHeight="1">
      <c r="D22" s="55"/>
      <c r="I22" s="75"/>
    </row>
    <row r="23" spans="1:45" ht="14.4" customHeight="1">
      <c r="D23" s="55"/>
      <c r="I23" s="75"/>
    </row>
    <row r="24" spans="1:45" ht="14.4" customHeight="1">
      <c r="D24" s="55"/>
      <c r="I24" s="75"/>
    </row>
    <row r="25" spans="1:45" ht="14.4" customHeight="1">
      <c r="D25" s="55"/>
      <c r="I25" s="75"/>
    </row>
    <row r="26" spans="1:45" ht="14.4" customHeight="1">
      <c r="D26" s="55"/>
      <c r="I26" s="75"/>
    </row>
    <row r="27" spans="1:45" ht="14.4" customHeight="1">
      <c r="D27" s="55"/>
      <c r="I27" s="75"/>
    </row>
    <row r="28" spans="1:45" ht="14.4" customHeight="1">
      <c r="D28" s="55"/>
      <c r="I28" s="75"/>
    </row>
    <row r="29" spans="1:45" ht="14.4" customHeight="1">
      <c r="D29" s="55"/>
      <c r="I29" s="75"/>
    </row>
    <row r="30" spans="1:45" ht="14.4" customHeight="1">
      <c r="D30" s="55"/>
      <c r="I30" s="75"/>
    </row>
    <row r="31" spans="1:45" ht="14.4" customHeight="1">
      <c r="D31" s="55"/>
      <c r="I31" s="75"/>
    </row>
    <row r="32" spans="1:45" ht="14.4" customHeight="1">
      <c r="D32" s="55"/>
      <c r="I32" s="75"/>
    </row>
    <row r="33" spans="4:9" ht="14.4" customHeight="1">
      <c r="D33" s="55"/>
      <c r="I33" s="75"/>
    </row>
    <row r="34" spans="4:9" ht="14.4" customHeight="1">
      <c r="D34" s="55"/>
      <c r="I34" s="75"/>
    </row>
    <row r="35" spans="4:9" ht="14.4" customHeight="1">
      <c r="D35" s="55"/>
      <c r="I35" s="75"/>
    </row>
    <row r="36" spans="4:9" ht="14.4" customHeight="1">
      <c r="D36" s="55"/>
      <c r="I36" s="75"/>
    </row>
    <row r="37" spans="4:9" ht="14.4" customHeight="1">
      <c r="D37" s="55"/>
      <c r="I37" s="75"/>
    </row>
    <row r="38" spans="4:9" ht="14.4" customHeight="1">
      <c r="D38" s="55"/>
      <c r="I38" s="75"/>
    </row>
    <row r="39" spans="4:9" ht="14.4" customHeight="1">
      <c r="D39" s="55"/>
      <c r="I39" s="75"/>
    </row>
    <row r="40" spans="4:9" ht="14.4" customHeight="1">
      <c r="D40" s="55"/>
      <c r="I40" s="75"/>
    </row>
    <row r="41" spans="4:9" ht="14.4" customHeight="1">
      <c r="D41" s="55"/>
      <c r="I41" s="75"/>
    </row>
    <row r="42" spans="4:9" ht="14.4" customHeight="1">
      <c r="D42" s="55"/>
      <c r="I42" s="75"/>
    </row>
    <row r="43" spans="4:9" ht="14.4" customHeight="1">
      <c r="D43" s="55"/>
      <c r="I43" s="75"/>
    </row>
    <row r="44" spans="4:9" ht="14.4" customHeight="1">
      <c r="D44" s="55"/>
      <c r="I44" s="75"/>
    </row>
    <row r="45" spans="4:9" ht="14.4" customHeight="1">
      <c r="D45" s="55"/>
      <c r="I45" s="75"/>
    </row>
    <row r="46" spans="4:9" ht="14.4" customHeight="1">
      <c r="D46" s="55"/>
      <c r="I46" s="75"/>
    </row>
    <row r="47" spans="4:9" ht="14.4" customHeight="1">
      <c r="D47" s="55"/>
      <c r="I47" s="75"/>
    </row>
    <row r="48" spans="4:9" ht="14.4" customHeight="1">
      <c r="D48" s="55"/>
      <c r="I48" s="75"/>
    </row>
    <row r="49" spans="4:9" ht="14.4" customHeight="1">
      <c r="D49" s="55"/>
      <c r="I49" s="75"/>
    </row>
    <row r="50" spans="4:9" ht="14.4" customHeight="1">
      <c r="D50" s="55"/>
      <c r="I50" s="75"/>
    </row>
    <row r="51" spans="4:9" ht="14.4" customHeight="1">
      <c r="D51" s="55"/>
      <c r="I51" s="75"/>
    </row>
    <row r="52" spans="4:9" ht="14.4" customHeight="1">
      <c r="D52" s="55"/>
      <c r="I52" s="75"/>
    </row>
    <row r="53" spans="4:9" ht="14.4" customHeight="1">
      <c r="D53" s="55"/>
      <c r="I53" s="75"/>
    </row>
    <row r="54" spans="4:9" ht="14.4" customHeight="1">
      <c r="D54" s="55"/>
      <c r="I54" s="75"/>
    </row>
    <row r="55" spans="4:9" ht="14.4" customHeight="1">
      <c r="D55" s="55"/>
      <c r="I55" s="75"/>
    </row>
    <row r="56" spans="4:9" ht="14.4" customHeight="1">
      <c r="D56" s="55"/>
      <c r="I56" s="75"/>
    </row>
    <row r="57" spans="4:9" ht="14.4" customHeight="1">
      <c r="D57" s="55"/>
      <c r="I57" s="75"/>
    </row>
    <row r="58" spans="4:9" ht="14.4" customHeight="1">
      <c r="D58" s="55"/>
      <c r="I58" s="75"/>
    </row>
    <row r="59" spans="4:9" ht="14.4" customHeight="1">
      <c r="D59" s="55"/>
      <c r="I59" s="75"/>
    </row>
    <row r="60" spans="4:9" ht="14.4" customHeight="1">
      <c r="D60" s="55"/>
      <c r="I60" s="75"/>
    </row>
    <row r="61" spans="4:9" ht="14.4" customHeight="1">
      <c r="D61" s="55"/>
      <c r="I61" s="75"/>
    </row>
    <row r="62" spans="4:9" ht="14.4" customHeight="1">
      <c r="D62" s="55"/>
      <c r="I62" s="75"/>
    </row>
    <row r="63" spans="4:9" ht="14.4" customHeight="1">
      <c r="D63" s="55"/>
      <c r="I63" s="75"/>
    </row>
    <row r="64" spans="4:9" ht="14.4" customHeight="1">
      <c r="D64" s="55"/>
      <c r="I64" s="75"/>
    </row>
    <row r="65" spans="4:9" ht="14.4" customHeight="1">
      <c r="D65" s="55"/>
      <c r="I65" s="75"/>
    </row>
    <row r="66" spans="4:9" ht="14.4" customHeight="1">
      <c r="D66" s="55"/>
      <c r="I66" s="75"/>
    </row>
    <row r="67" spans="4:9" ht="14.4" customHeight="1">
      <c r="D67" s="55"/>
      <c r="I67" s="75"/>
    </row>
    <row r="68" spans="4:9" ht="14.4" customHeight="1">
      <c r="D68" s="55"/>
      <c r="I68" s="75"/>
    </row>
    <row r="69" spans="4:9" ht="14.4" customHeight="1">
      <c r="D69" s="55"/>
      <c r="I69" s="75"/>
    </row>
    <row r="70" spans="4:9" ht="14.4" customHeight="1">
      <c r="D70" s="55"/>
      <c r="I70" s="75"/>
    </row>
    <row r="71" spans="4:9" ht="14.4" customHeight="1">
      <c r="D71" s="55"/>
      <c r="I71" s="75"/>
    </row>
    <row r="72" spans="4:9" ht="14.4" customHeight="1">
      <c r="D72" s="55"/>
      <c r="I72" s="75"/>
    </row>
    <row r="73" spans="4:9" ht="14.4" customHeight="1">
      <c r="D73" s="55"/>
      <c r="I73" s="75"/>
    </row>
    <row r="74" spans="4:9" ht="14.4" customHeight="1">
      <c r="D74" s="55"/>
      <c r="I74" s="75"/>
    </row>
    <row r="75" spans="4:9" ht="14.4" customHeight="1">
      <c r="D75" s="55"/>
      <c r="I75" s="75"/>
    </row>
    <row r="76" spans="4:9" ht="14.4" customHeight="1">
      <c r="D76" s="55"/>
      <c r="I76" s="75"/>
    </row>
    <row r="77" spans="4:9" ht="14.4" customHeight="1">
      <c r="D77" s="55"/>
      <c r="I77" s="75"/>
    </row>
    <row r="78" spans="4:9" ht="14.4" customHeight="1">
      <c r="D78" s="55"/>
      <c r="I78" s="75"/>
    </row>
    <row r="79" spans="4:9" ht="14.4" customHeight="1">
      <c r="D79" s="55"/>
      <c r="I79" s="75"/>
    </row>
    <row r="80" spans="4:9" ht="14.4" customHeight="1">
      <c r="D80" s="55"/>
      <c r="I80" s="75"/>
    </row>
    <row r="81" spans="4:9" ht="14.4" customHeight="1">
      <c r="D81" s="55"/>
      <c r="I81" s="75"/>
    </row>
    <row r="82" spans="4:9" ht="14.4" customHeight="1">
      <c r="D82" s="55"/>
      <c r="I82" s="75"/>
    </row>
    <row r="83" spans="4:9" ht="14.4" customHeight="1">
      <c r="D83" s="55"/>
      <c r="I83" s="75"/>
    </row>
    <row r="84" spans="4:9" ht="14.4" customHeight="1">
      <c r="D84" s="55"/>
      <c r="I84" s="75"/>
    </row>
    <row r="85" spans="4:9" ht="14.4" customHeight="1">
      <c r="D85" s="55"/>
      <c r="I85" s="75"/>
    </row>
    <row r="86" spans="4:9" ht="14.4" customHeight="1">
      <c r="D86" s="55"/>
      <c r="I86" s="75"/>
    </row>
    <row r="87" spans="4:9" ht="14.4" customHeight="1">
      <c r="D87" s="55"/>
      <c r="I87" s="75"/>
    </row>
    <row r="88" spans="4:9" ht="14.4" customHeight="1">
      <c r="D88" s="55"/>
      <c r="I88" s="75"/>
    </row>
    <row r="89" spans="4:9" ht="14.4" customHeight="1">
      <c r="D89" s="55"/>
      <c r="I89" s="75"/>
    </row>
    <row r="90" spans="4:9" ht="14.4" customHeight="1">
      <c r="D90" s="55"/>
      <c r="I90" s="75"/>
    </row>
    <row r="91" spans="4:9" ht="14.4" customHeight="1">
      <c r="D91" s="55"/>
      <c r="I91" s="75"/>
    </row>
    <row r="92" spans="4:9" ht="14.4" customHeight="1">
      <c r="D92" s="55"/>
      <c r="I92" s="75"/>
    </row>
    <row r="93" spans="4:9" ht="14.4" customHeight="1">
      <c r="D93" s="55"/>
      <c r="I93" s="75"/>
    </row>
    <row r="94" spans="4:9" ht="14.4" customHeight="1">
      <c r="D94" s="55"/>
      <c r="I94" s="75"/>
    </row>
    <row r="95" spans="4:9" ht="14.4" customHeight="1">
      <c r="D95" s="55"/>
      <c r="I95" s="75"/>
    </row>
    <row r="96" spans="4:9" ht="14.4" customHeight="1">
      <c r="D96" s="55"/>
      <c r="I96" s="75"/>
    </row>
    <row r="97" spans="4:9" ht="14.4" customHeight="1">
      <c r="D97" s="55"/>
      <c r="I97" s="75"/>
    </row>
    <row r="98" spans="4:9" ht="14.4" customHeight="1">
      <c r="D98" s="55"/>
      <c r="I98" s="75"/>
    </row>
    <row r="99" spans="4:9" ht="14.4" customHeight="1">
      <c r="D99" s="55"/>
      <c r="I99" s="75"/>
    </row>
    <row r="100" spans="4:9" ht="14.4" customHeight="1">
      <c r="D100" s="55"/>
      <c r="I100" s="75"/>
    </row>
    <row r="101" spans="4:9" ht="14.4" customHeight="1">
      <c r="D101" s="55"/>
      <c r="I101" s="75"/>
    </row>
    <row r="102" spans="4:9" ht="14.4" customHeight="1">
      <c r="D102" s="55"/>
      <c r="I102" s="75"/>
    </row>
    <row r="103" spans="4:9" ht="14.4" customHeight="1">
      <c r="D103" s="55"/>
      <c r="I103" s="75"/>
    </row>
    <row r="104" spans="4:9" ht="14.4" customHeight="1">
      <c r="D104" s="55"/>
      <c r="I104" s="75"/>
    </row>
    <row r="105" spans="4:9" ht="14.4" customHeight="1">
      <c r="D105" s="55"/>
      <c r="I105" s="75"/>
    </row>
    <row r="106" spans="4:9" ht="14.4" customHeight="1">
      <c r="D106" s="55"/>
      <c r="I106" s="75"/>
    </row>
    <row r="107" spans="4:9" ht="14.4" customHeight="1">
      <c r="D107" s="55"/>
      <c r="I107" s="75"/>
    </row>
    <row r="108" spans="4:9" ht="14.4" customHeight="1">
      <c r="D108" s="55"/>
      <c r="I108" s="75"/>
    </row>
    <row r="109" spans="4:9" ht="14.4" customHeight="1">
      <c r="D109" s="55"/>
      <c r="I109" s="75"/>
    </row>
    <row r="110" spans="4:9" ht="14.4" customHeight="1">
      <c r="D110" s="55"/>
      <c r="I110" s="75"/>
    </row>
    <row r="111" spans="4:9" ht="14.4" customHeight="1">
      <c r="D111" s="55"/>
      <c r="I111" s="75"/>
    </row>
    <row r="112" spans="4:9" ht="14.4" customHeight="1">
      <c r="D112" s="55"/>
      <c r="I112" s="75"/>
    </row>
    <row r="113" spans="4:9" ht="14.4" customHeight="1">
      <c r="D113" s="55"/>
      <c r="I113" s="75"/>
    </row>
    <row r="114" spans="4:9" ht="14.4" customHeight="1">
      <c r="D114" s="55"/>
      <c r="I114" s="75"/>
    </row>
    <row r="115" spans="4:9" ht="14.4" customHeight="1">
      <c r="D115" s="55"/>
      <c r="I115" s="75"/>
    </row>
    <row r="116" spans="4:9" ht="14.4" customHeight="1">
      <c r="D116" s="55"/>
      <c r="I116" s="75"/>
    </row>
    <row r="117" spans="4:9" ht="14.4" customHeight="1">
      <c r="D117" s="55"/>
      <c r="I117" s="75"/>
    </row>
    <row r="118" spans="4:9" ht="14.4" customHeight="1">
      <c r="D118" s="55"/>
      <c r="I118" s="75"/>
    </row>
    <row r="119" spans="4:9" ht="14.4" customHeight="1">
      <c r="D119" s="55"/>
      <c r="I119" s="75"/>
    </row>
    <row r="120" spans="4:9" ht="14.4" customHeight="1">
      <c r="D120" s="55"/>
      <c r="I120" s="75"/>
    </row>
    <row r="121" spans="4:9" ht="14.4" customHeight="1">
      <c r="D121" s="55"/>
      <c r="I121" s="75"/>
    </row>
    <row r="122" spans="4:9" ht="14.4" customHeight="1">
      <c r="D122" s="55"/>
      <c r="I122" s="75"/>
    </row>
    <row r="123" spans="4:9" ht="14.4" customHeight="1">
      <c r="D123" s="55"/>
      <c r="I123" s="75"/>
    </row>
    <row r="124" spans="4:9" ht="14.4" customHeight="1">
      <c r="D124" s="55"/>
      <c r="I124" s="75"/>
    </row>
    <row r="125" spans="4:9" ht="14.4" customHeight="1">
      <c r="D125" s="55"/>
      <c r="I125" s="75"/>
    </row>
    <row r="126" spans="4:9" ht="14.4" customHeight="1">
      <c r="D126" s="55"/>
      <c r="I126" s="75"/>
    </row>
    <row r="127" spans="4:9" ht="14.4" customHeight="1">
      <c r="D127" s="55"/>
      <c r="I127" s="75"/>
    </row>
    <row r="128" spans="4:9" ht="14.4" customHeight="1">
      <c r="D128" s="55"/>
      <c r="I128" s="75"/>
    </row>
    <row r="129" spans="4:9" ht="14.4" customHeight="1">
      <c r="D129" s="55"/>
      <c r="I129" s="75"/>
    </row>
    <row r="130" spans="4:9" ht="14.4" customHeight="1">
      <c r="D130" s="55"/>
      <c r="I130" s="75"/>
    </row>
    <row r="131" spans="4:9" ht="14.4" customHeight="1">
      <c r="D131" s="55"/>
      <c r="I131" s="75"/>
    </row>
    <row r="132" spans="4:9" ht="14.4" customHeight="1">
      <c r="D132" s="55"/>
      <c r="I132" s="75"/>
    </row>
    <row r="133" spans="4:9" ht="14.4" customHeight="1">
      <c r="D133" s="55"/>
      <c r="I133" s="75"/>
    </row>
    <row r="134" spans="4:9" ht="14.4" customHeight="1">
      <c r="D134" s="55"/>
      <c r="I134" s="75"/>
    </row>
    <row r="135" spans="4:9" ht="14.4" customHeight="1">
      <c r="D135" s="55"/>
      <c r="I135" s="75"/>
    </row>
    <row r="136" spans="4:9" ht="14.4" customHeight="1">
      <c r="D136" s="55"/>
      <c r="I136" s="75"/>
    </row>
    <row r="137" spans="4:9" ht="14.4" customHeight="1">
      <c r="D137" s="55"/>
      <c r="I137" s="75"/>
    </row>
    <row r="138" spans="4:9" ht="14.4" customHeight="1">
      <c r="D138" s="55"/>
      <c r="I138" s="75"/>
    </row>
    <row r="139" spans="4:9" ht="14.4" customHeight="1">
      <c r="D139" s="55"/>
      <c r="I139" s="75"/>
    </row>
    <row r="140" spans="4:9" ht="14.4" customHeight="1">
      <c r="D140" s="55"/>
      <c r="I140" s="75"/>
    </row>
    <row r="141" spans="4:9" ht="14.4" customHeight="1">
      <c r="D141" s="55"/>
      <c r="I141" s="75"/>
    </row>
    <row r="142" spans="4:9" ht="14.4" customHeight="1">
      <c r="D142" s="55"/>
      <c r="I142" s="75"/>
    </row>
    <row r="143" spans="4:9" ht="14.4" customHeight="1">
      <c r="D143" s="55"/>
      <c r="I143" s="75"/>
    </row>
    <row r="144" spans="4:9" ht="14.4" customHeight="1">
      <c r="D144" s="55"/>
      <c r="I144" s="75"/>
    </row>
    <row r="145" spans="4:9" ht="14.4" customHeight="1">
      <c r="D145" s="55"/>
      <c r="I145" s="75"/>
    </row>
    <row r="146" spans="4:9" ht="14.4" customHeight="1">
      <c r="D146" s="55"/>
      <c r="I146" s="75"/>
    </row>
    <row r="147" spans="4:9" ht="14.4" customHeight="1">
      <c r="D147" s="55"/>
      <c r="I147" s="75"/>
    </row>
    <row r="148" spans="4:9" ht="14.4" customHeight="1">
      <c r="D148" s="55"/>
      <c r="I148" s="75"/>
    </row>
    <row r="149" spans="4:9" ht="14.4" customHeight="1">
      <c r="D149" s="55"/>
      <c r="I149" s="75"/>
    </row>
    <row r="150" spans="4:9" ht="14.4" customHeight="1">
      <c r="D150" s="55"/>
      <c r="I150" s="75"/>
    </row>
    <row r="151" spans="4:9" ht="14.4" customHeight="1">
      <c r="D151" s="55"/>
      <c r="I151" s="75"/>
    </row>
    <row r="152" spans="4:9" ht="14.4" customHeight="1">
      <c r="D152" s="55"/>
      <c r="I152" s="75"/>
    </row>
    <row r="153" spans="4:9" ht="14.4" customHeight="1">
      <c r="D153" s="55"/>
      <c r="I153" s="75"/>
    </row>
    <row r="154" spans="4:9" ht="14.4" customHeight="1">
      <c r="D154" s="55"/>
      <c r="I154" s="75"/>
    </row>
    <row r="155" spans="4:9" ht="14.4" customHeight="1">
      <c r="D155" s="55"/>
      <c r="I155" s="75"/>
    </row>
    <row r="156" spans="4:9" ht="14.4" customHeight="1">
      <c r="D156" s="55"/>
      <c r="I156" s="75"/>
    </row>
    <row r="157" spans="4:9" ht="14.4" customHeight="1">
      <c r="D157" s="55"/>
      <c r="I157" s="75"/>
    </row>
    <row r="158" spans="4:9" ht="14.4" customHeight="1">
      <c r="D158" s="55"/>
      <c r="I158" s="75"/>
    </row>
    <row r="159" spans="4:9" ht="14.4" customHeight="1">
      <c r="D159" s="55"/>
      <c r="I159" s="75"/>
    </row>
    <row r="160" spans="4:9" ht="14.4" customHeight="1">
      <c r="D160" s="55"/>
      <c r="I160" s="75"/>
    </row>
    <row r="161" spans="4:9" ht="14.4" customHeight="1">
      <c r="D161" s="55"/>
      <c r="I161" s="75"/>
    </row>
    <row r="162" spans="4:9" ht="14.4" customHeight="1">
      <c r="D162" s="55"/>
      <c r="I162" s="75"/>
    </row>
    <row r="163" spans="4:9" ht="14.4" customHeight="1">
      <c r="D163" s="55"/>
      <c r="I163" s="75"/>
    </row>
    <row r="164" spans="4:9" ht="14.4" customHeight="1">
      <c r="D164" s="55"/>
      <c r="I164" s="75"/>
    </row>
    <row r="165" spans="4:9" ht="14.4" customHeight="1">
      <c r="D165" s="55"/>
      <c r="I165" s="75"/>
    </row>
    <row r="166" spans="4:9" ht="14.4" customHeight="1">
      <c r="D166" s="55"/>
      <c r="I166" s="75"/>
    </row>
    <row r="167" spans="4:9" ht="14.4" customHeight="1">
      <c r="D167" s="55"/>
      <c r="I167" s="75"/>
    </row>
    <row r="168" spans="4:9" ht="14.4" customHeight="1">
      <c r="D168" s="55"/>
      <c r="I168" s="75"/>
    </row>
    <row r="169" spans="4:9" ht="14.4" customHeight="1">
      <c r="D169" s="55"/>
      <c r="I169" s="75"/>
    </row>
    <row r="170" spans="4:9" ht="14.4" customHeight="1">
      <c r="D170" s="55"/>
      <c r="I170" s="75"/>
    </row>
    <row r="171" spans="4:9" ht="14.4" customHeight="1">
      <c r="D171" s="55"/>
      <c r="I171" s="75"/>
    </row>
    <row r="172" spans="4:9" ht="14.4" customHeight="1">
      <c r="D172" s="55"/>
      <c r="I172" s="75"/>
    </row>
    <row r="173" spans="4:9" ht="14.4" customHeight="1">
      <c r="D173" s="55"/>
      <c r="I173" s="75"/>
    </row>
    <row r="174" spans="4:9" ht="14.4" customHeight="1">
      <c r="D174" s="55"/>
      <c r="I174" s="75"/>
    </row>
    <row r="175" spans="4:9" ht="14.4" customHeight="1">
      <c r="D175" s="55"/>
      <c r="I175" s="75"/>
    </row>
    <row r="176" spans="4:9" ht="14.4" customHeight="1">
      <c r="D176" s="55"/>
      <c r="I176" s="75"/>
    </row>
    <row r="177" spans="4:9" ht="14.4" customHeight="1">
      <c r="D177" s="55"/>
      <c r="I177" s="75"/>
    </row>
    <row r="178" spans="4:9" ht="14.4" customHeight="1">
      <c r="D178" s="55"/>
      <c r="I178" s="75"/>
    </row>
    <row r="179" spans="4:9" ht="14.4" customHeight="1">
      <c r="D179" s="55"/>
      <c r="I179" s="75"/>
    </row>
    <row r="180" spans="4:9" ht="14.4" customHeight="1">
      <c r="D180" s="55"/>
      <c r="I180" s="75"/>
    </row>
    <row r="181" spans="4:9" ht="14.4" customHeight="1">
      <c r="D181" s="55"/>
      <c r="I181" s="75"/>
    </row>
    <row r="182" spans="4:9" ht="14.4" customHeight="1">
      <c r="D182" s="55"/>
      <c r="I182" s="75"/>
    </row>
    <row r="183" spans="4:9" ht="14.4" customHeight="1">
      <c r="D183" s="55"/>
      <c r="I183" s="75"/>
    </row>
    <row r="184" spans="4:9" ht="14.4" customHeight="1">
      <c r="D184" s="55"/>
      <c r="I184" s="75"/>
    </row>
    <row r="185" spans="4:9" ht="14.4" customHeight="1">
      <c r="D185" s="55"/>
      <c r="I185" s="75"/>
    </row>
    <row r="186" spans="4:9" ht="14.4" customHeight="1">
      <c r="D186" s="55"/>
      <c r="I186" s="75"/>
    </row>
    <row r="187" spans="4:9" ht="14.4" customHeight="1">
      <c r="D187" s="55"/>
      <c r="I187" s="75"/>
    </row>
    <row r="188" spans="4:9" ht="14.4" customHeight="1">
      <c r="D188" s="55"/>
      <c r="I188" s="75"/>
    </row>
    <row r="189" spans="4:9" ht="14.4" customHeight="1">
      <c r="D189" s="55"/>
      <c r="I189" s="75"/>
    </row>
    <row r="190" spans="4:9" ht="14.4" customHeight="1">
      <c r="D190" s="55"/>
      <c r="I190" s="75"/>
    </row>
    <row r="191" spans="4:9" ht="14.4" customHeight="1">
      <c r="D191" s="55"/>
      <c r="I191" s="75"/>
    </row>
    <row r="192" spans="4:9" ht="14.4" customHeight="1">
      <c r="D192" s="55"/>
      <c r="I192" s="75"/>
    </row>
    <row r="193" spans="4:9" ht="14.4" customHeight="1">
      <c r="D193" s="55"/>
      <c r="I193" s="75"/>
    </row>
    <row r="194" spans="4:9" ht="14.4" customHeight="1">
      <c r="D194" s="55"/>
      <c r="I194" s="75"/>
    </row>
    <row r="195" spans="4:9" ht="14.4" customHeight="1">
      <c r="D195" s="55"/>
      <c r="I195" s="75"/>
    </row>
    <row r="196" spans="4:9" ht="14.4" customHeight="1">
      <c r="D196" s="55"/>
      <c r="I196" s="75"/>
    </row>
    <row r="197" spans="4:9" ht="14.4" customHeight="1">
      <c r="D197" s="55"/>
      <c r="I197" s="75"/>
    </row>
    <row r="198" spans="4:9" ht="14.4" customHeight="1">
      <c r="D198" s="55"/>
      <c r="I198" s="75"/>
    </row>
    <row r="199" spans="4:9" ht="14.4" customHeight="1">
      <c r="D199" s="55"/>
      <c r="I199" s="75"/>
    </row>
    <row r="200" spans="4:9" ht="14.4" customHeight="1">
      <c r="D200" s="55"/>
      <c r="I200" s="75"/>
    </row>
    <row r="201" spans="4:9" ht="14.4" customHeight="1">
      <c r="D201" s="55"/>
      <c r="I201" s="75"/>
    </row>
    <row r="202" spans="4:9" ht="14.4" customHeight="1">
      <c r="D202" s="55"/>
      <c r="I202" s="75"/>
    </row>
    <row r="203" spans="4:9" ht="14.4" customHeight="1">
      <c r="D203" s="55"/>
      <c r="I203" s="75"/>
    </row>
    <row r="204" spans="4:9" ht="14.4" customHeight="1">
      <c r="D204" s="55"/>
      <c r="I204" s="75"/>
    </row>
    <row r="205" spans="4:9" ht="14.4" customHeight="1">
      <c r="D205" s="55"/>
      <c r="I205" s="75"/>
    </row>
    <row r="206" spans="4:9" ht="14.4" customHeight="1">
      <c r="D206" s="55"/>
      <c r="I206" s="75"/>
    </row>
    <row r="207" spans="4:9" ht="14.4" customHeight="1">
      <c r="D207" s="55"/>
      <c r="I207" s="75"/>
    </row>
    <row r="208" spans="4:9" ht="14.4" customHeight="1">
      <c r="D208" s="55"/>
      <c r="I208" s="75"/>
    </row>
    <row r="209" spans="4:9" ht="14.4" customHeight="1">
      <c r="D209" s="55"/>
      <c r="I209" s="75"/>
    </row>
    <row r="210" spans="4:9" ht="14.4" customHeight="1">
      <c r="D210" s="55"/>
      <c r="I210" s="75"/>
    </row>
    <row r="211" spans="4:9" ht="14.4" customHeight="1">
      <c r="D211" s="55"/>
      <c r="I211" s="75"/>
    </row>
    <row r="212" spans="4:9" ht="14.4" customHeight="1">
      <c r="D212" s="55"/>
      <c r="I212" s="75"/>
    </row>
    <row r="213" spans="4:9" ht="14.4" customHeight="1">
      <c r="D213" s="55"/>
      <c r="I213" s="75"/>
    </row>
    <row r="214" spans="4:9" ht="14.4" customHeight="1">
      <c r="D214" s="55"/>
      <c r="I214" s="75"/>
    </row>
    <row r="215" spans="4:9" ht="14.4" customHeight="1">
      <c r="D215" s="55"/>
      <c r="I215" s="75"/>
    </row>
    <row r="216" spans="4:9" ht="14.4" customHeight="1">
      <c r="D216" s="55"/>
      <c r="I216" s="75"/>
    </row>
    <row r="217" spans="4:9" ht="14.4" customHeight="1">
      <c r="D217" s="55"/>
      <c r="I217" s="75"/>
    </row>
    <row r="218" spans="4:9" ht="14.4" customHeight="1">
      <c r="D218" s="55"/>
      <c r="I218" s="75"/>
    </row>
    <row r="219" spans="4:9" ht="14.4" customHeight="1">
      <c r="D219" s="55"/>
      <c r="I219" s="75"/>
    </row>
    <row r="220" spans="4:9" ht="14.4" customHeight="1">
      <c r="D220" s="55"/>
      <c r="I220" s="75"/>
    </row>
    <row r="221" spans="4:9" ht="14.4" customHeight="1">
      <c r="D221" s="55"/>
      <c r="I221" s="75"/>
    </row>
    <row r="222" spans="4:9" ht="14.4" customHeight="1">
      <c r="D222" s="55"/>
      <c r="I222" s="75"/>
    </row>
    <row r="223" spans="4:9" ht="14.4" customHeight="1">
      <c r="D223" s="55"/>
      <c r="I223" s="75"/>
    </row>
    <row r="224" spans="4:9" ht="14.4" customHeight="1">
      <c r="D224" s="55"/>
      <c r="I224" s="75"/>
    </row>
    <row r="225" spans="4:9" ht="14.4" customHeight="1">
      <c r="D225" s="55"/>
      <c r="I225" s="75"/>
    </row>
    <row r="226" spans="4:9" ht="14.4" customHeight="1">
      <c r="D226" s="55"/>
      <c r="I226" s="75"/>
    </row>
    <row r="227" spans="4:9" ht="14.4" customHeight="1">
      <c r="D227" s="55"/>
      <c r="I227" s="75"/>
    </row>
    <row r="228" spans="4:9" ht="14.4" customHeight="1">
      <c r="D228" s="55"/>
      <c r="I228" s="75"/>
    </row>
    <row r="229" spans="4:9" ht="14.4" customHeight="1">
      <c r="D229" s="55"/>
      <c r="I229" s="75"/>
    </row>
    <row r="230" spans="4:9" ht="14.4" customHeight="1">
      <c r="D230" s="55"/>
      <c r="I230" s="75"/>
    </row>
    <row r="231" spans="4:9" ht="14.4" customHeight="1">
      <c r="D231" s="55"/>
      <c r="I231" s="75"/>
    </row>
    <row r="232" spans="4:9" ht="14.4" customHeight="1">
      <c r="D232" s="55"/>
      <c r="I232" s="75"/>
    </row>
    <row r="233" spans="4:9" ht="14.4" customHeight="1">
      <c r="D233" s="55"/>
      <c r="I233" s="75"/>
    </row>
    <row r="234" spans="4:9" ht="14.4" customHeight="1">
      <c r="D234" s="55"/>
      <c r="I234" s="75"/>
    </row>
    <row r="235" spans="4:9" ht="14.4" customHeight="1">
      <c r="D235" s="55"/>
      <c r="I235" s="75"/>
    </row>
    <row r="236" spans="4:9" ht="14.4" customHeight="1">
      <c r="D236" s="55"/>
      <c r="I236" s="75"/>
    </row>
    <row r="237" spans="4:9" ht="14.4" customHeight="1">
      <c r="D237" s="55"/>
      <c r="I237" s="75"/>
    </row>
    <row r="238" spans="4:9" ht="14.4" customHeight="1">
      <c r="D238" s="55"/>
      <c r="I238" s="75"/>
    </row>
    <row r="239" spans="4:9" ht="14.4" customHeight="1">
      <c r="D239" s="55"/>
      <c r="I239" s="75"/>
    </row>
    <row r="240" spans="4:9" ht="14.4" customHeight="1">
      <c r="D240" s="55"/>
      <c r="I240" s="75"/>
    </row>
    <row r="241" spans="4:9" ht="14.4" customHeight="1">
      <c r="D241" s="55"/>
      <c r="I241" s="75"/>
    </row>
    <row r="242" spans="4:9" ht="14.4" customHeight="1">
      <c r="D242" s="55"/>
      <c r="I242" s="75"/>
    </row>
    <row r="243" spans="4:9" ht="14.4" customHeight="1">
      <c r="D243" s="55"/>
      <c r="I243" s="75"/>
    </row>
    <row r="244" spans="4:9" ht="14.4" customHeight="1">
      <c r="D244" s="55"/>
      <c r="I244" s="75"/>
    </row>
    <row r="245" spans="4:9" ht="14.4" customHeight="1">
      <c r="D245" s="55"/>
      <c r="I245" s="75"/>
    </row>
    <row r="246" spans="4:9" ht="14.4" customHeight="1">
      <c r="D246" s="55"/>
      <c r="I246" s="75"/>
    </row>
    <row r="247" spans="4:9" ht="14.4" customHeight="1">
      <c r="D247" s="55"/>
      <c r="I247" s="75"/>
    </row>
    <row r="248" spans="4:9" ht="14.4" customHeight="1">
      <c r="D248" s="55"/>
      <c r="I248" s="75"/>
    </row>
    <row r="249" spans="4:9" ht="14.4" customHeight="1">
      <c r="D249" s="55"/>
      <c r="I249" s="75"/>
    </row>
    <row r="250" spans="4:9" ht="14.4" customHeight="1">
      <c r="D250" s="55"/>
      <c r="I250" s="75"/>
    </row>
    <row r="251" spans="4:9" ht="14.4" customHeight="1">
      <c r="D251" s="55"/>
      <c r="I251" s="75"/>
    </row>
    <row r="252" spans="4:9" ht="14.4" customHeight="1">
      <c r="D252" s="55"/>
      <c r="I252" s="75"/>
    </row>
    <row r="253" spans="4:9" ht="14.4" customHeight="1">
      <c r="D253" s="55"/>
      <c r="I253" s="75"/>
    </row>
    <row r="254" spans="4:9" ht="14.4" customHeight="1">
      <c r="D254" s="55"/>
      <c r="I254" s="75"/>
    </row>
    <row r="255" spans="4:9" ht="14.4" customHeight="1">
      <c r="D255" s="55"/>
      <c r="I255" s="75"/>
    </row>
    <row r="256" spans="4:9" ht="14.4" customHeight="1">
      <c r="D256" s="55"/>
      <c r="I256" s="75"/>
    </row>
    <row r="257" spans="4:9" ht="14.4" customHeight="1">
      <c r="D257" s="55"/>
      <c r="I257" s="75"/>
    </row>
    <row r="258" spans="4:9" ht="14.4" customHeight="1">
      <c r="D258" s="55"/>
      <c r="I258" s="75"/>
    </row>
    <row r="259" spans="4:9" ht="14.4" customHeight="1">
      <c r="D259" s="55"/>
      <c r="I259" s="75"/>
    </row>
    <row r="260" spans="4:9" ht="14.4" customHeight="1">
      <c r="D260" s="55"/>
      <c r="I260" s="75"/>
    </row>
    <row r="261" spans="4:9" ht="14.4" customHeight="1">
      <c r="D261" s="55"/>
      <c r="I261" s="75"/>
    </row>
    <row r="262" spans="4:9" ht="14.4" customHeight="1">
      <c r="D262" s="55"/>
      <c r="I262" s="75"/>
    </row>
    <row r="263" spans="4:9" ht="14.4" customHeight="1">
      <c r="D263" s="55"/>
      <c r="I263" s="75"/>
    </row>
    <row r="264" spans="4:9" ht="14.4" customHeight="1">
      <c r="D264" s="55"/>
      <c r="I264" s="75"/>
    </row>
    <row r="265" spans="4:9" ht="14.4" customHeight="1">
      <c r="D265" s="55"/>
      <c r="I265" s="75"/>
    </row>
    <row r="266" spans="4:9" ht="14.4" customHeight="1">
      <c r="D266" s="55"/>
      <c r="I266" s="75"/>
    </row>
    <row r="267" spans="4:9" ht="14.4" customHeight="1">
      <c r="D267" s="55"/>
      <c r="I267" s="75"/>
    </row>
    <row r="268" spans="4:9" ht="14.4" customHeight="1">
      <c r="D268" s="55"/>
      <c r="I268" s="75"/>
    </row>
    <row r="269" spans="4:9" ht="14.4" customHeight="1">
      <c r="D269" s="55"/>
      <c r="I269" s="75"/>
    </row>
    <row r="270" spans="4:9" ht="14.4" customHeight="1">
      <c r="D270" s="55"/>
      <c r="I270" s="75"/>
    </row>
    <row r="271" spans="4:9" ht="14.4" customHeight="1">
      <c r="D271" s="55"/>
      <c r="I271" s="75"/>
    </row>
    <row r="272" spans="4:9" ht="14.4" customHeight="1">
      <c r="D272" s="55"/>
      <c r="I272" s="75"/>
    </row>
    <row r="273" spans="4:9" ht="14.4" customHeight="1">
      <c r="D273" s="55"/>
      <c r="I273" s="75"/>
    </row>
    <row r="274" spans="4:9" ht="14.4" customHeight="1">
      <c r="D274" s="55"/>
      <c r="I274" s="75"/>
    </row>
    <row r="275" spans="4:9" ht="14.4" customHeight="1">
      <c r="D275" s="55"/>
      <c r="I275" s="75"/>
    </row>
    <row r="276" spans="4:9" ht="14.4" customHeight="1">
      <c r="D276" s="55"/>
      <c r="I276" s="75"/>
    </row>
    <row r="277" spans="4:9" ht="14.4" customHeight="1">
      <c r="D277" s="55"/>
      <c r="I277" s="75"/>
    </row>
    <row r="278" spans="4:9" ht="14.4" customHeight="1">
      <c r="D278" s="55"/>
      <c r="I278" s="75"/>
    </row>
    <row r="279" spans="4:9" ht="14.4" customHeight="1">
      <c r="D279" s="55"/>
      <c r="I279" s="75"/>
    </row>
    <row r="280" spans="4:9" ht="14.4" customHeight="1">
      <c r="D280" s="55"/>
      <c r="I280" s="75"/>
    </row>
    <row r="281" spans="4:9" ht="14.4" customHeight="1">
      <c r="D281" s="55"/>
      <c r="I281" s="75"/>
    </row>
    <row r="282" spans="4:9" ht="14.4" customHeight="1">
      <c r="D282" s="55"/>
      <c r="I282" s="75"/>
    </row>
    <row r="283" spans="4:9" ht="14.4" customHeight="1">
      <c r="D283" s="55"/>
      <c r="I283" s="75"/>
    </row>
    <row r="284" spans="4:9" ht="14.4" customHeight="1">
      <c r="D284" s="55"/>
      <c r="I284" s="75"/>
    </row>
    <row r="285" spans="4:9" ht="14.4" customHeight="1">
      <c r="D285" s="55"/>
      <c r="I285" s="75"/>
    </row>
    <row r="286" spans="4:9" ht="14.4" customHeight="1">
      <c r="D286" s="55"/>
      <c r="I286" s="75"/>
    </row>
    <row r="287" spans="4:9" ht="14.4" customHeight="1">
      <c r="D287" s="55"/>
      <c r="I287" s="75"/>
    </row>
    <row r="288" spans="4:9" ht="14.4" customHeight="1">
      <c r="D288" s="55"/>
      <c r="I288" s="75"/>
    </row>
    <row r="289" spans="4:9" ht="14.4" customHeight="1">
      <c r="D289" s="55"/>
      <c r="I289" s="75"/>
    </row>
    <row r="290" spans="4:9" ht="14.4" customHeight="1">
      <c r="D290" s="55"/>
      <c r="I290" s="75"/>
    </row>
    <row r="291" spans="4:9" ht="14.4" customHeight="1">
      <c r="D291" s="55"/>
      <c r="I291" s="75"/>
    </row>
    <row r="292" spans="4:9" ht="14.4" customHeight="1">
      <c r="D292" s="55"/>
      <c r="I292" s="75"/>
    </row>
    <row r="293" spans="4:9" ht="14.4" customHeight="1">
      <c r="D293" s="55"/>
      <c r="I293" s="75"/>
    </row>
    <row r="294" spans="4:9" ht="14.4" customHeight="1">
      <c r="D294" s="55"/>
      <c r="I294" s="75"/>
    </row>
    <row r="295" spans="4:9" ht="14.4" customHeight="1">
      <c r="D295" s="55"/>
      <c r="I295" s="75"/>
    </row>
    <row r="296" spans="4:9" ht="14.4" customHeight="1">
      <c r="D296" s="55"/>
      <c r="I296" s="75"/>
    </row>
    <row r="297" spans="4:9" ht="14.4" customHeight="1">
      <c r="D297" s="55"/>
      <c r="I297" s="75"/>
    </row>
    <row r="298" spans="4:9" ht="14.4" customHeight="1">
      <c r="D298" s="55"/>
      <c r="I298" s="75"/>
    </row>
    <row r="299" spans="4:9" ht="14.4" customHeight="1">
      <c r="D299" s="55"/>
      <c r="I299" s="75"/>
    </row>
    <row r="300" spans="4:9" ht="14.4" customHeight="1">
      <c r="D300" s="55"/>
      <c r="I300" s="75"/>
    </row>
    <row r="301" spans="4:9" ht="14.4" customHeight="1">
      <c r="D301" s="55"/>
      <c r="I301" s="75"/>
    </row>
    <row r="302" spans="4:9" ht="14.4" customHeight="1">
      <c r="D302" s="55"/>
      <c r="I302" s="75"/>
    </row>
    <row r="303" spans="4:9" ht="14.4" customHeight="1">
      <c r="D303" s="55"/>
      <c r="I303" s="75"/>
    </row>
    <row r="304" spans="4:9" ht="14.4" customHeight="1">
      <c r="D304" s="55"/>
      <c r="I304" s="75"/>
    </row>
    <row r="305" spans="4:9" ht="14.4" customHeight="1">
      <c r="D305" s="55"/>
      <c r="I305" s="75"/>
    </row>
    <row r="306" spans="4:9" ht="14.4" customHeight="1">
      <c r="D306" s="55"/>
      <c r="I306" s="75"/>
    </row>
    <row r="307" spans="4:9" ht="14.4" customHeight="1">
      <c r="D307" s="55"/>
      <c r="I307" s="75"/>
    </row>
    <row r="308" spans="4:9" ht="14.4" customHeight="1">
      <c r="D308" s="55"/>
      <c r="I308" s="75"/>
    </row>
    <row r="309" spans="4:9" ht="14.4" customHeight="1">
      <c r="D309" s="55"/>
      <c r="I309" s="75"/>
    </row>
    <row r="310" spans="4:9" ht="14.4" customHeight="1">
      <c r="D310" s="55"/>
      <c r="I310" s="75"/>
    </row>
    <row r="311" spans="4:9" ht="14.4" customHeight="1">
      <c r="D311" s="55"/>
      <c r="I311" s="75"/>
    </row>
    <row r="312" spans="4:9" ht="14.4" customHeight="1">
      <c r="D312" s="55"/>
      <c r="I312" s="75"/>
    </row>
    <row r="313" spans="4:9" ht="14.4" customHeight="1">
      <c r="D313" s="55"/>
      <c r="I313" s="75"/>
    </row>
    <row r="314" spans="4:9" ht="14.4" customHeight="1">
      <c r="D314" s="55"/>
      <c r="I314" s="75"/>
    </row>
    <row r="315" spans="4:9" ht="14.4" customHeight="1">
      <c r="D315" s="55"/>
      <c r="I315" s="75"/>
    </row>
    <row r="316" spans="4:9" ht="14.4" customHeight="1">
      <c r="D316" s="55"/>
      <c r="I316" s="75"/>
    </row>
    <row r="317" spans="4:9" ht="14.4" customHeight="1">
      <c r="D317" s="55"/>
      <c r="I317" s="75"/>
    </row>
    <row r="318" spans="4:9" ht="14.4" customHeight="1">
      <c r="D318" s="55"/>
      <c r="I318" s="75"/>
    </row>
    <row r="319" spans="4:9" ht="14.4" customHeight="1">
      <c r="D319" s="55"/>
      <c r="I319" s="75"/>
    </row>
    <row r="320" spans="4:9" ht="14.4" customHeight="1">
      <c r="D320" s="55"/>
      <c r="I320" s="75"/>
    </row>
    <row r="321" spans="4:9" ht="14.4" customHeight="1">
      <c r="D321" s="55"/>
      <c r="I321" s="75"/>
    </row>
    <row r="322" spans="4:9" ht="14.4" customHeight="1">
      <c r="D322" s="55"/>
      <c r="I322" s="75"/>
    </row>
    <row r="323" spans="4:9" ht="14.4" customHeight="1">
      <c r="D323" s="55"/>
      <c r="I323" s="75"/>
    </row>
    <row r="324" spans="4:9" ht="14.4" customHeight="1">
      <c r="D324" s="55"/>
      <c r="I324" s="75"/>
    </row>
    <row r="325" spans="4:9" ht="14.4" customHeight="1">
      <c r="D325" s="55"/>
      <c r="I325" s="75"/>
    </row>
    <row r="326" spans="4:9" ht="14.4" customHeight="1">
      <c r="D326" s="55"/>
      <c r="I326" s="75"/>
    </row>
    <row r="327" spans="4:9" ht="14.4" customHeight="1">
      <c r="D327" s="55"/>
      <c r="I327" s="75"/>
    </row>
    <row r="328" spans="4:9" ht="14.4" customHeight="1">
      <c r="D328" s="55"/>
      <c r="I328" s="75"/>
    </row>
    <row r="329" spans="4:9" ht="14.4" customHeight="1">
      <c r="D329" s="55"/>
      <c r="I329" s="75"/>
    </row>
    <row r="330" spans="4:9" ht="14.4" customHeight="1">
      <c r="D330" s="55"/>
      <c r="I330" s="75"/>
    </row>
    <row r="331" spans="4:9" ht="14.4" customHeight="1">
      <c r="D331" s="55"/>
      <c r="I331" s="75"/>
    </row>
    <row r="332" spans="4:9" ht="14.4" customHeight="1">
      <c r="D332" s="55"/>
      <c r="I332" s="75"/>
    </row>
    <row r="333" spans="4:9" ht="14.4" customHeight="1">
      <c r="D333" s="55"/>
      <c r="I333" s="75"/>
    </row>
    <row r="334" spans="4:9" ht="14.4" customHeight="1">
      <c r="D334" s="55"/>
      <c r="I334" s="75"/>
    </row>
    <row r="335" spans="4:9" ht="14.4" customHeight="1">
      <c r="D335" s="55"/>
      <c r="I335" s="75"/>
    </row>
    <row r="336" spans="4:9" ht="14.4" customHeight="1">
      <c r="D336" s="55"/>
      <c r="I336" s="75"/>
    </row>
    <row r="337" spans="4:9" ht="14.4" customHeight="1">
      <c r="D337" s="55"/>
      <c r="I337" s="75"/>
    </row>
    <row r="338" spans="4:9" ht="14.4" customHeight="1">
      <c r="D338" s="55"/>
      <c r="I338" s="75"/>
    </row>
    <row r="339" spans="4:9" ht="14.4" customHeight="1">
      <c r="D339" s="55"/>
      <c r="I339" s="75"/>
    </row>
    <row r="340" spans="4:9" ht="14.4" customHeight="1">
      <c r="D340" s="55"/>
      <c r="I340" s="75"/>
    </row>
    <row r="341" spans="4:9" ht="14.4" customHeight="1">
      <c r="D341" s="55"/>
      <c r="I341" s="75"/>
    </row>
    <row r="342" spans="4:9" ht="14.4" customHeight="1">
      <c r="D342" s="55"/>
      <c r="I342" s="75"/>
    </row>
    <row r="343" spans="4:9" ht="14.4" customHeight="1">
      <c r="D343" s="55"/>
      <c r="I343" s="75"/>
    </row>
    <row r="344" spans="4:9" ht="14.4" customHeight="1">
      <c r="D344" s="55"/>
      <c r="I344" s="75"/>
    </row>
    <row r="345" spans="4:9" ht="14.4" customHeight="1">
      <c r="D345" s="55"/>
      <c r="I345" s="75"/>
    </row>
    <row r="346" spans="4:9" ht="14.4" customHeight="1">
      <c r="D346" s="55"/>
      <c r="I346" s="75"/>
    </row>
    <row r="347" spans="4:9" ht="14.4" customHeight="1">
      <c r="D347" s="55"/>
      <c r="I347" s="75"/>
    </row>
    <row r="348" spans="4:9" ht="14.4" customHeight="1">
      <c r="D348" s="55"/>
      <c r="I348" s="75"/>
    </row>
    <row r="349" spans="4:9" ht="14.4" customHeight="1">
      <c r="D349" s="55"/>
      <c r="I349" s="75"/>
    </row>
    <row r="350" spans="4:9" ht="14.4" customHeight="1">
      <c r="D350" s="55"/>
      <c r="I350" s="75"/>
    </row>
    <row r="351" spans="4:9" ht="14.4" customHeight="1">
      <c r="D351" s="55"/>
      <c r="I351" s="75"/>
    </row>
    <row r="352" spans="4:9" ht="14.4" customHeight="1">
      <c r="D352" s="55"/>
      <c r="I352" s="75"/>
    </row>
    <row r="353" spans="4:9" ht="14.4" customHeight="1">
      <c r="D353" s="55"/>
      <c r="I353" s="75"/>
    </row>
    <row r="354" spans="4:9" ht="14.4" customHeight="1">
      <c r="D354" s="55"/>
      <c r="I354" s="75"/>
    </row>
    <row r="355" spans="4:9" ht="14.4" customHeight="1">
      <c r="D355" s="55"/>
      <c r="I355" s="75"/>
    </row>
    <row r="356" spans="4:9" ht="14.4" customHeight="1">
      <c r="D356" s="55"/>
      <c r="I356" s="75"/>
    </row>
    <row r="357" spans="4:9" ht="14.4" customHeight="1">
      <c r="D357" s="55"/>
      <c r="I357" s="75"/>
    </row>
    <row r="358" spans="4:9" ht="14.4" customHeight="1">
      <c r="D358" s="55"/>
      <c r="I358" s="75"/>
    </row>
    <row r="359" spans="4:9" ht="14.4" customHeight="1">
      <c r="D359" s="55"/>
      <c r="I359" s="75"/>
    </row>
    <row r="360" spans="4:9" ht="14.4" customHeight="1">
      <c r="D360" s="55"/>
      <c r="I360" s="75"/>
    </row>
    <row r="361" spans="4:9" ht="14.4" customHeight="1">
      <c r="D361" s="55"/>
      <c r="I361" s="75"/>
    </row>
    <row r="362" spans="4:9" ht="14.4" customHeight="1">
      <c r="D362" s="55"/>
      <c r="I362" s="75"/>
    </row>
    <row r="363" spans="4:9" ht="14.4" customHeight="1">
      <c r="D363" s="55"/>
      <c r="I363" s="75"/>
    </row>
    <row r="364" spans="4:9" ht="14.4" customHeight="1">
      <c r="D364" s="55"/>
      <c r="I364" s="75"/>
    </row>
    <row r="365" spans="4:9" ht="14.4" customHeight="1">
      <c r="D365" s="55"/>
      <c r="I365" s="75"/>
    </row>
    <row r="366" spans="4:9" ht="14.4" customHeight="1">
      <c r="D366" s="55"/>
      <c r="I366" s="75"/>
    </row>
    <row r="367" spans="4:9" ht="14.4" customHeight="1">
      <c r="D367" s="55"/>
      <c r="I367" s="75"/>
    </row>
    <row r="368" spans="4:9" ht="14.4" customHeight="1">
      <c r="D368" s="55"/>
      <c r="I368" s="75"/>
    </row>
    <row r="369" spans="4:9" ht="14.4" customHeight="1">
      <c r="D369" s="55"/>
      <c r="I369" s="75"/>
    </row>
    <row r="370" spans="4:9" ht="14.4" customHeight="1">
      <c r="D370" s="55"/>
      <c r="I370" s="75"/>
    </row>
    <row r="371" spans="4:9" ht="14.4" customHeight="1">
      <c r="D371" s="55"/>
      <c r="I371" s="75"/>
    </row>
    <row r="372" spans="4:9" ht="14.4" customHeight="1">
      <c r="D372" s="55"/>
      <c r="I372" s="75"/>
    </row>
    <row r="373" spans="4:9" ht="14.4" customHeight="1">
      <c r="D373" s="55"/>
      <c r="I373" s="75"/>
    </row>
    <row r="374" spans="4:9" ht="14.4" customHeight="1">
      <c r="D374" s="55"/>
      <c r="I374" s="75"/>
    </row>
    <row r="375" spans="4:9" ht="14.4" customHeight="1">
      <c r="D375" s="55"/>
      <c r="I375" s="75"/>
    </row>
    <row r="376" spans="4:9" ht="14.4" customHeight="1">
      <c r="D376" s="55"/>
      <c r="I376" s="75"/>
    </row>
    <row r="377" spans="4:9" ht="14.4" customHeight="1">
      <c r="D377" s="55"/>
      <c r="I377" s="75"/>
    </row>
    <row r="378" spans="4:9" ht="14.4" customHeight="1">
      <c r="D378" s="55"/>
      <c r="I378" s="75"/>
    </row>
    <row r="379" spans="4:9" ht="14.4" customHeight="1">
      <c r="D379" s="55"/>
      <c r="I379" s="75"/>
    </row>
    <row r="380" spans="4:9" ht="14.4" customHeight="1">
      <c r="D380" s="55"/>
      <c r="I380" s="75"/>
    </row>
    <row r="381" spans="4:9" ht="14.4" customHeight="1">
      <c r="D381" s="55"/>
      <c r="I381" s="75"/>
    </row>
    <row r="382" spans="4:9" ht="14.4" customHeight="1">
      <c r="D382" s="55"/>
      <c r="I382" s="75"/>
    </row>
    <row r="383" spans="4:9" ht="14.4" customHeight="1">
      <c r="D383" s="55"/>
      <c r="I383" s="75"/>
    </row>
    <row r="384" spans="4:9" ht="14.4" customHeight="1">
      <c r="D384" s="55"/>
      <c r="I384" s="75"/>
    </row>
    <row r="385" spans="4:9" ht="14.4" customHeight="1">
      <c r="D385" s="55"/>
      <c r="I385" s="75"/>
    </row>
    <row r="386" spans="4:9" ht="14.4" customHeight="1">
      <c r="D386" s="55"/>
      <c r="I386" s="75"/>
    </row>
    <row r="387" spans="4:9" ht="14.4" customHeight="1">
      <c r="D387" s="55"/>
      <c r="I387" s="75"/>
    </row>
    <row r="388" spans="4:9" ht="14.4" customHeight="1">
      <c r="D388" s="55"/>
      <c r="I388" s="75"/>
    </row>
    <row r="389" spans="4:9" ht="14.4" customHeight="1">
      <c r="D389" s="55"/>
      <c r="I389" s="75"/>
    </row>
    <row r="390" spans="4:9" ht="14.4" customHeight="1">
      <c r="D390" s="55"/>
      <c r="I390" s="75"/>
    </row>
    <row r="391" spans="4:9" ht="14.4" customHeight="1">
      <c r="D391" s="55"/>
      <c r="I391" s="75"/>
    </row>
    <row r="392" spans="4:9" ht="14.4" customHeight="1">
      <c r="D392" s="55"/>
      <c r="I392" s="75"/>
    </row>
    <row r="393" spans="4:9" ht="14.4" customHeight="1">
      <c r="D393" s="55"/>
      <c r="I393" s="75"/>
    </row>
    <row r="394" spans="4:9" ht="14.4" customHeight="1">
      <c r="D394" s="55"/>
      <c r="I394" s="75"/>
    </row>
    <row r="395" spans="4:9" ht="14.4" customHeight="1">
      <c r="D395" s="55"/>
      <c r="I395" s="75"/>
    </row>
    <row r="396" spans="4:9" ht="14.4" customHeight="1">
      <c r="D396" s="55"/>
      <c r="I396" s="75"/>
    </row>
    <row r="397" spans="4:9" ht="14.4" customHeight="1">
      <c r="D397" s="55"/>
      <c r="I397" s="75"/>
    </row>
    <row r="398" spans="4:9" ht="14.4" customHeight="1">
      <c r="D398" s="55"/>
      <c r="I398" s="75"/>
    </row>
    <row r="399" spans="4:9" ht="14.4" customHeight="1">
      <c r="D399" s="55"/>
      <c r="I399" s="75"/>
    </row>
    <row r="400" spans="4:9" ht="14.4" customHeight="1">
      <c r="D400" s="55"/>
      <c r="I400" s="75"/>
    </row>
    <row r="401" spans="4:9" ht="14.4" customHeight="1">
      <c r="D401" s="55"/>
      <c r="I401" s="75"/>
    </row>
    <row r="402" spans="4:9" ht="14.4" customHeight="1">
      <c r="D402" s="55"/>
      <c r="I402" s="75"/>
    </row>
    <row r="403" spans="4:9" ht="14.4" customHeight="1">
      <c r="D403" s="55"/>
      <c r="I403" s="75"/>
    </row>
    <row r="404" spans="4:9" ht="14.4" customHeight="1">
      <c r="D404" s="55"/>
      <c r="I404" s="75"/>
    </row>
    <row r="405" spans="4:9" ht="14.4" customHeight="1">
      <c r="D405" s="55"/>
      <c r="I405" s="75"/>
    </row>
    <row r="406" spans="4:9" ht="14.4" customHeight="1">
      <c r="D406" s="55"/>
      <c r="I406" s="75"/>
    </row>
    <row r="407" spans="4:9" ht="14.4" customHeight="1">
      <c r="D407" s="55"/>
      <c r="I407" s="75"/>
    </row>
    <row r="408" spans="4:9" ht="14.4" customHeight="1">
      <c r="D408" s="55"/>
      <c r="I408" s="75"/>
    </row>
    <row r="409" spans="4:9" ht="14.4" customHeight="1">
      <c r="D409" s="55"/>
      <c r="I409" s="75"/>
    </row>
    <row r="410" spans="4:9" ht="14.4" customHeight="1">
      <c r="D410" s="55"/>
      <c r="I410" s="75"/>
    </row>
    <row r="411" spans="4:9" ht="14.4" customHeight="1">
      <c r="D411" s="55"/>
      <c r="I411" s="75"/>
    </row>
    <row r="412" spans="4:9" ht="14.4" customHeight="1">
      <c r="D412" s="55"/>
      <c r="I412" s="75"/>
    </row>
    <row r="413" spans="4:9" ht="14.4" customHeight="1">
      <c r="D413" s="55"/>
      <c r="I413" s="75"/>
    </row>
    <row r="414" spans="4:9" ht="14.4" customHeight="1">
      <c r="D414" s="55"/>
      <c r="I414" s="75"/>
    </row>
    <row r="415" spans="4:9" ht="14.4" customHeight="1">
      <c r="D415" s="55"/>
      <c r="I415" s="75"/>
    </row>
    <row r="416" spans="4:9" ht="14.4" customHeight="1">
      <c r="D416" s="55"/>
      <c r="I416" s="75"/>
    </row>
    <row r="417" spans="4:9" ht="14.4" customHeight="1">
      <c r="D417" s="55"/>
      <c r="I417" s="75"/>
    </row>
    <row r="418" spans="4:9" ht="14.4" customHeight="1">
      <c r="D418" s="55"/>
      <c r="I418" s="75"/>
    </row>
    <row r="419" spans="4:9" ht="14.4" customHeight="1">
      <c r="D419" s="55"/>
      <c r="I419" s="75"/>
    </row>
    <row r="420" spans="4:9" ht="14.4" customHeight="1">
      <c r="D420" s="55"/>
      <c r="I420" s="75"/>
    </row>
    <row r="421" spans="4:9" ht="14.4" customHeight="1">
      <c r="D421" s="55"/>
      <c r="I421" s="75"/>
    </row>
    <row r="422" spans="4:9" ht="14.4" customHeight="1">
      <c r="D422" s="55"/>
      <c r="I422" s="75"/>
    </row>
    <row r="423" spans="4:9" ht="14.4" customHeight="1">
      <c r="D423" s="55"/>
      <c r="I423" s="75"/>
    </row>
    <row r="424" spans="4:9" ht="14.4" customHeight="1">
      <c r="D424" s="55"/>
      <c r="I424" s="75"/>
    </row>
    <row r="425" spans="4:9" ht="14.4" customHeight="1">
      <c r="D425" s="55"/>
      <c r="I425" s="75"/>
    </row>
    <row r="426" spans="4:9" ht="14.4" customHeight="1">
      <c r="D426" s="55"/>
      <c r="I426" s="75"/>
    </row>
    <row r="427" spans="4:9" ht="14.4" customHeight="1">
      <c r="D427" s="55"/>
      <c r="I427" s="75"/>
    </row>
    <row r="428" spans="4:9" ht="14.4" customHeight="1">
      <c r="D428" s="55"/>
      <c r="I428" s="75"/>
    </row>
    <row r="429" spans="4:9" ht="14.4" customHeight="1">
      <c r="D429" s="55"/>
      <c r="I429" s="75"/>
    </row>
    <row r="430" spans="4:9" ht="14.4" customHeight="1">
      <c r="D430" s="55"/>
      <c r="I430" s="75"/>
    </row>
    <row r="431" spans="4:9" ht="14.4" customHeight="1">
      <c r="D431" s="55"/>
      <c r="I431" s="75"/>
    </row>
    <row r="432" spans="4:9" ht="14.4" customHeight="1">
      <c r="D432" s="55"/>
      <c r="I432" s="75"/>
    </row>
    <row r="433" spans="4:9" ht="14.4" customHeight="1">
      <c r="D433" s="55"/>
      <c r="I433" s="75"/>
    </row>
    <row r="434" spans="4:9" ht="14.4" customHeight="1">
      <c r="D434" s="55"/>
      <c r="I434" s="75"/>
    </row>
    <row r="435" spans="4:9" ht="14.4" customHeight="1">
      <c r="D435" s="55"/>
      <c r="I435" s="75"/>
    </row>
    <row r="436" spans="4:9" ht="14.4" customHeight="1">
      <c r="D436" s="55"/>
      <c r="I436" s="75"/>
    </row>
    <row r="437" spans="4:9" ht="14.4" customHeight="1">
      <c r="D437" s="55"/>
      <c r="I437" s="75"/>
    </row>
    <row r="438" spans="4:9" ht="14.4" customHeight="1">
      <c r="D438" s="55"/>
      <c r="I438" s="75"/>
    </row>
    <row r="439" spans="4:9" ht="14.4" customHeight="1">
      <c r="D439" s="55"/>
      <c r="I439" s="75"/>
    </row>
    <row r="440" spans="4:9" ht="14.4" customHeight="1">
      <c r="D440" s="55"/>
      <c r="I440" s="75"/>
    </row>
    <row r="441" spans="4:9" ht="14.4" customHeight="1">
      <c r="D441" s="55"/>
      <c r="I441" s="75"/>
    </row>
    <row r="442" spans="4:9" ht="14.4" customHeight="1">
      <c r="D442" s="55"/>
      <c r="I442" s="75"/>
    </row>
    <row r="443" spans="4:9" ht="14.4" customHeight="1">
      <c r="D443" s="55"/>
      <c r="I443" s="75"/>
    </row>
    <row r="444" spans="4:9" ht="14.4" customHeight="1">
      <c r="D444" s="55"/>
      <c r="I444" s="75"/>
    </row>
    <row r="445" spans="4:9" ht="14.4" customHeight="1">
      <c r="D445" s="55"/>
      <c r="I445" s="75"/>
    </row>
    <row r="446" spans="4:9" ht="14.4" customHeight="1">
      <c r="D446" s="55"/>
      <c r="I446" s="75"/>
    </row>
    <row r="447" spans="4:9" ht="14.4" customHeight="1">
      <c r="D447" s="55"/>
      <c r="I447" s="75"/>
    </row>
    <row r="448" spans="4:9" ht="14.4" customHeight="1">
      <c r="D448" s="55"/>
      <c r="I448" s="75"/>
    </row>
    <row r="449" spans="4:9" ht="14.4" customHeight="1">
      <c r="D449" s="55"/>
      <c r="I449" s="75"/>
    </row>
    <row r="450" spans="4:9" ht="14.4" customHeight="1">
      <c r="D450" s="55"/>
      <c r="I450" s="75"/>
    </row>
    <row r="451" spans="4:9" ht="14.4" customHeight="1">
      <c r="D451" s="55"/>
      <c r="I451" s="75"/>
    </row>
    <row r="452" spans="4:9" ht="14.4" customHeight="1">
      <c r="D452" s="55"/>
      <c r="I452" s="75"/>
    </row>
    <row r="453" spans="4:9" ht="14.4" customHeight="1">
      <c r="D453" s="55"/>
      <c r="I453" s="75"/>
    </row>
    <row r="454" spans="4:9" ht="14.4" customHeight="1">
      <c r="D454" s="55"/>
      <c r="I454" s="75"/>
    </row>
    <row r="455" spans="4:9" ht="14.4" customHeight="1">
      <c r="D455" s="55"/>
      <c r="I455" s="75"/>
    </row>
    <row r="456" spans="4:9" ht="14.4" customHeight="1">
      <c r="D456" s="55"/>
      <c r="I456" s="75"/>
    </row>
    <row r="457" spans="4:9" ht="14.4" customHeight="1">
      <c r="D457" s="55"/>
      <c r="I457" s="75"/>
    </row>
    <row r="458" spans="4:9" ht="14.4" customHeight="1">
      <c r="D458" s="55"/>
      <c r="I458" s="75"/>
    </row>
    <row r="459" spans="4:9" ht="14.4" customHeight="1">
      <c r="D459" s="55"/>
      <c r="I459" s="75"/>
    </row>
    <row r="460" spans="4:9" ht="14.4" customHeight="1">
      <c r="D460" s="55"/>
      <c r="I460" s="75"/>
    </row>
    <row r="461" spans="4:9" ht="14.4" customHeight="1">
      <c r="D461" s="55"/>
      <c r="I461" s="75"/>
    </row>
    <row r="462" spans="4:9" ht="14.4" customHeight="1">
      <c r="D462" s="55"/>
      <c r="I462" s="75"/>
    </row>
    <row r="463" spans="4:9" ht="14.4" customHeight="1">
      <c r="D463" s="55"/>
      <c r="I463" s="75"/>
    </row>
    <row r="464" spans="4:9" ht="14.4" customHeight="1">
      <c r="D464" s="55"/>
      <c r="I464" s="75"/>
    </row>
    <row r="465" spans="4:9" ht="14.4" customHeight="1">
      <c r="D465" s="55"/>
      <c r="I465" s="75"/>
    </row>
    <row r="466" spans="4:9" ht="14.4" customHeight="1">
      <c r="D466" s="55"/>
      <c r="I466" s="75"/>
    </row>
    <row r="467" spans="4:9" ht="14.4" customHeight="1">
      <c r="D467" s="55"/>
      <c r="I467" s="75"/>
    </row>
    <row r="468" spans="4:9" ht="14.4" customHeight="1">
      <c r="D468" s="55"/>
      <c r="I468" s="75"/>
    </row>
    <row r="469" spans="4:9" ht="14.4" customHeight="1">
      <c r="D469" s="55"/>
      <c r="I469" s="75"/>
    </row>
    <row r="470" spans="4:9" ht="14.4" customHeight="1">
      <c r="D470" s="55"/>
      <c r="I470" s="75"/>
    </row>
    <row r="471" spans="4:9" ht="14.4" customHeight="1">
      <c r="D471" s="55"/>
      <c r="I471" s="75"/>
    </row>
    <row r="472" spans="4:9" ht="14.4" customHeight="1">
      <c r="D472" s="55"/>
      <c r="I472" s="75"/>
    </row>
    <row r="473" spans="4:9" ht="14.4" customHeight="1">
      <c r="D473" s="55"/>
      <c r="I473" s="75"/>
    </row>
    <row r="474" spans="4:9" ht="14.4" customHeight="1">
      <c r="D474" s="55"/>
      <c r="I474" s="75"/>
    </row>
    <row r="475" spans="4:9" ht="14.4" customHeight="1">
      <c r="D475" s="55"/>
      <c r="I475" s="75"/>
    </row>
    <row r="476" spans="4:9" ht="14.4" customHeight="1">
      <c r="D476" s="55"/>
      <c r="I476" s="75"/>
    </row>
    <row r="477" spans="4:9" ht="14.4" customHeight="1">
      <c r="D477" s="55"/>
      <c r="I477" s="75"/>
    </row>
    <row r="478" spans="4:9" ht="14.4" customHeight="1">
      <c r="D478" s="55"/>
      <c r="I478" s="75"/>
    </row>
    <row r="479" spans="4:9" ht="14.4" customHeight="1">
      <c r="D479" s="55"/>
      <c r="I479" s="75"/>
    </row>
    <row r="480" spans="4:9" ht="14.4" customHeight="1">
      <c r="D480" s="55"/>
      <c r="I480" s="75"/>
    </row>
    <row r="481" spans="4:9" ht="14.4" customHeight="1">
      <c r="D481" s="55"/>
      <c r="I481" s="75"/>
    </row>
    <row r="482" spans="4:9" ht="14.4" customHeight="1">
      <c r="D482" s="55"/>
      <c r="I482" s="75"/>
    </row>
    <row r="483" spans="4:9" ht="14.4" customHeight="1">
      <c r="D483" s="55"/>
      <c r="I483" s="75"/>
    </row>
    <row r="484" spans="4:9" ht="14.4" customHeight="1">
      <c r="D484" s="55"/>
      <c r="I484" s="75"/>
    </row>
    <row r="485" spans="4:9" ht="14.4" customHeight="1">
      <c r="D485" s="55"/>
      <c r="I485" s="75"/>
    </row>
    <row r="486" spans="4:9" ht="14.4" customHeight="1">
      <c r="D486" s="55"/>
      <c r="I486" s="75"/>
    </row>
    <row r="487" spans="4:9" ht="14.4" customHeight="1">
      <c r="D487" s="55"/>
      <c r="I487" s="75"/>
    </row>
    <row r="488" spans="4:9" ht="14.4" customHeight="1">
      <c r="D488" s="55"/>
      <c r="I488" s="75"/>
    </row>
    <row r="489" spans="4:9" ht="14.4" customHeight="1">
      <c r="D489" s="55"/>
      <c r="I489" s="75"/>
    </row>
    <row r="490" spans="4:9" ht="14.4" customHeight="1">
      <c r="D490" s="55"/>
      <c r="I490" s="75"/>
    </row>
    <row r="491" spans="4:9" ht="14.4" customHeight="1">
      <c r="D491" s="55"/>
      <c r="I491" s="75"/>
    </row>
    <row r="492" spans="4:9" ht="14.4" customHeight="1">
      <c r="D492" s="55"/>
      <c r="I492" s="75"/>
    </row>
    <row r="493" spans="4:9" ht="14.4" customHeight="1">
      <c r="D493" s="55"/>
      <c r="I493" s="75"/>
    </row>
    <row r="494" spans="4:9" ht="14.4" customHeight="1">
      <c r="D494" s="55"/>
      <c r="I494" s="75"/>
    </row>
    <row r="495" spans="4:9" ht="14.4" customHeight="1">
      <c r="D495" s="55"/>
      <c r="I495" s="75"/>
    </row>
    <row r="496" spans="4:9" ht="14.4" customHeight="1">
      <c r="D496" s="55"/>
      <c r="I496" s="75"/>
    </row>
    <row r="497" spans="4:9" ht="14.4" customHeight="1">
      <c r="D497" s="55"/>
      <c r="I497" s="75"/>
    </row>
    <row r="498" spans="4:9" ht="14.4" customHeight="1">
      <c r="D498" s="55"/>
      <c r="I498" s="75"/>
    </row>
    <row r="499" spans="4:9" ht="14.4" customHeight="1">
      <c r="D499" s="55"/>
      <c r="I499" s="75"/>
    </row>
    <row r="500" spans="4:9" ht="14.4" customHeight="1">
      <c r="D500" s="55"/>
      <c r="I500" s="75"/>
    </row>
    <row r="501" spans="4:9" ht="14.4" customHeight="1">
      <c r="D501" s="55"/>
      <c r="I501" s="75"/>
    </row>
    <row r="502" spans="4:9" ht="14.4" customHeight="1">
      <c r="D502" s="55"/>
      <c r="I502" s="75"/>
    </row>
    <row r="503" spans="4:9" ht="14.4" customHeight="1">
      <c r="D503" s="55"/>
      <c r="I503" s="75"/>
    </row>
    <row r="504" spans="4:9" ht="14.4" customHeight="1">
      <c r="D504" s="55"/>
      <c r="I504" s="75"/>
    </row>
    <row r="505" spans="4:9" ht="14.4" customHeight="1">
      <c r="D505" s="55"/>
      <c r="I505" s="75"/>
    </row>
    <row r="506" spans="4:9" ht="14.4" customHeight="1">
      <c r="D506" s="55"/>
      <c r="I506" s="75"/>
    </row>
    <row r="507" spans="4:9" ht="14.4" customHeight="1">
      <c r="D507" s="55"/>
      <c r="I507" s="75"/>
    </row>
    <row r="508" spans="4:9" ht="14.4" customHeight="1">
      <c r="D508" s="55"/>
      <c r="I508" s="75"/>
    </row>
    <row r="509" spans="4:9" ht="14.4" customHeight="1">
      <c r="D509" s="55"/>
      <c r="I509" s="75"/>
    </row>
    <row r="510" spans="4:9" ht="14.4" customHeight="1">
      <c r="D510" s="55"/>
      <c r="I510" s="75"/>
    </row>
    <row r="511" spans="4:9" ht="14.4" customHeight="1">
      <c r="D511" s="55"/>
      <c r="I511" s="75"/>
    </row>
    <row r="512" spans="4:9" ht="14.4" customHeight="1">
      <c r="D512" s="55"/>
      <c r="I512" s="75"/>
    </row>
    <row r="513" spans="4:9" ht="14.4" customHeight="1">
      <c r="D513" s="55"/>
      <c r="I513" s="75"/>
    </row>
    <row r="514" spans="4:9" ht="14.4" customHeight="1">
      <c r="D514" s="55"/>
      <c r="I514" s="75"/>
    </row>
    <row r="515" spans="4:9" ht="14.4" customHeight="1">
      <c r="D515" s="55"/>
      <c r="I515" s="75"/>
    </row>
    <row r="516" spans="4:9" ht="14.4" customHeight="1">
      <c r="D516" s="55"/>
      <c r="I516" s="75"/>
    </row>
    <row r="517" spans="4:9" ht="14.4" customHeight="1">
      <c r="D517" s="55"/>
      <c r="I517" s="75"/>
    </row>
    <row r="518" spans="4:9" ht="14.4" customHeight="1">
      <c r="D518" s="55"/>
      <c r="I518" s="75"/>
    </row>
    <row r="519" spans="4:9" ht="14.4" customHeight="1">
      <c r="D519" s="55"/>
      <c r="I519" s="75"/>
    </row>
    <row r="520" spans="4:9" ht="14.4" customHeight="1">
      <c r="D520" s="55"/>
      <c r="I520" s="75"/>
    </row>
    <row r="521" spans="4:9" ht="14.4" customHeight="1">
      <c r="D521" s="55"/>
      <c r="I521" s="75"/>
    </row>
    <row r="522" spans="4:9" ht="14.4" customHeight="1">
      <c r="D522" s="55"/>
      <c r="I522" s="75"/>
    </row>
    <row r="523" spans="4:9" ht="14.4" customHeight="1">
      <c r="D523" s="55"/>
      <c r="I523" s="75"/>
    </row>
    <row r="524" spans="4:9" ht="14.4" customHeight="1">
      <c r="D524" s="55"/>
      <c r="I524" s="75"/>
    </row>
    <row r="525" spans="4:9" ht="14.4" customHeight="1">
      <c r="D525" s="55"/>
      <c r="I525" s="75"/>
    </row>
    <row r="526" spans="4:9" ht="14.4" customHeight="1">
      <c r="D526" s="55"/>
      <c r="I526" s="75"/>
    </row>
    <row r="527" spans="4:9" ht="14.4" customHeight="1">
      <c r="D527" s="55"/>
      <c r="I527" s="75"/>
    </row>
    <row r="528" spans="4:9" ht="14.4" customHeight="1">
      <c r="D528" s="55"/>
      <c r="I528" s="75"/>
    </row>
    <row r="529" spans="4:9" ht="14.4" customHeight="1">
      <c r="D529" s="55"/>
      <c r="I529" s="75"/>
    </row>
    <row r="530" spans="4:9" ht="14.4" customHeight="1">
      <c r="D530" s="55"/>
      <c r="I530" s="75"/>
    </row>
    <row r="531" spans="4:9" ht="14.4" customHeight="1">
      <c r="D531" s="55"/>
      <c r="I531" s="75"/>
    </row>
    <row r="532" spans="4:9" ht="14.4" customHeight="1">
      <c r="D532" s="55"/>
      <c r="I532" s="75"/>
    </row>
    <row r="533" spans="4:9" ht="14.4" customHeight="1">
      <c r="D533" s="55"/>
      <c r="I533" s="75"/>
    </row>
    <row r="534" spans="4:9" ht="14.4" customHeight="1">
      <c r="D534" s="55"/>
      <c r="I534" s="75"/>
    </row>
    <row r="535" spans="4:9" ht="14.4" customHeight="1">
      <c r="D535" s="55"/>
      <c r="I535" s="75"/>
    </row>
    <row r="536" spans="4:9" ht="14.4" customHeight="1">
      <c r="D536" s="55"/>
      <c r="I536" s="75"/>
    </row>
    <row r="537" spans="4:9" ht="14.4" customHeight="1">
      <c r="D537" s="55"/>
      <c r="I537" s="75"/>
    </row>
    <row r="538" spans="4:9" ht="14.4" customHeight="1">
      <c r="D538" s="55"/>
      <c r="I538" s="75"/>
    </row>
    <row r="539" spans="4:9" ht="14.4" customHeight="1">
      <c r="D539" s="55"/>
      <c r="I539" s="75"/>
    </row>
    <row r="540" spans="4:9" ht="14.4" customHeight="1">
      <c r="D540" s="55"/>
      <c r="I540" s="75"/>
    </row>
    <row r="541" spans="4:9" ht="14.4" customHeight="1">
      <c r="D541" s="55"/>
      <c r="I541" s="75"/>
    </row>
    <row r="542" spans="4:9" ht="14.4" customHeight="1">
      <c r="D542" s="55"/>
      <c r="I542" s="75"/>
    </row>
    <row r="543" spans="4:9" ht="14.4" customHeight="1">
      <c r="D543" s="55"/>
      <c r="I543" s="75"/>
    </row>
    <row r="544" spans="4:9" ht="14.4" customHeight="1">
      <c r="D544" s="55"/>
      <c r="I544" s="75"/>
    </row>
    <row r="545" spans="4:9" ht="14.4" customHeight="1">
      <c r="D545" s="55"/>
      <c r="I545" s="75"/>
    </row>
    <row r="546" spans="4:9" ht="14.4" customHeight="1">
      <c r="D546" s="55"/>
      <c r="I546" s="75"/>
    </row>
    <row r="547" spans="4:9" ht="14.4" customHeight="1">
      <c r="D547" s="55"/>
      <c r="I547" s="75"/>
    </row>
    <row r="548" spans="4:9" ht="14.4" customHeight="1">
      <c r="D548" s="55"/>
      <c r="I548" s="75"/>
    </row>
    <row r="549" spans="4:9" ht="14.4" customHeight="1">
      <c r="D549" s="55"/>
      <c r="I549" s="75"/>
    </row>
    <row r="550" spans="4:9" ht="14.4" customHeight="1">
      <c r="D550" s="55"/>
      <c r="I550" s="75"/>
    </row>
    <row r="551" spans="4:9" ht="14.4" customHeight="1">
      <c r="D551" s="55"/>
      <c r="I551" s="75"/>
    </row>
    <row r="552" spans="4:9" ht="14.4" customHeight="1">
      <c r="D552" s="55"/>
      <c r="I552" s="75"/>
    </row>
    <row r="553" spans="4:9" ht="14.4" customHeight="1">
      <c r="D553" s="55"/>
      <c r="I553" s="75"/>
    </row>
    <row r="554" spans="4:9" ht="14.4" customHeight="1">
      <c r="D554" s="55"/>
      <c r="I554" s="75"/>
    </row>
    <row r="555" spans="4:9" ht="14.4" customHeight="1">
      <c r="D555" s="55"/>
      <c r="I555" s="75"/>
    </row>
    <row r="556" spans="4:9" ht="14.4" customHeight="1">
      <c r="D556" s="55"/>
      <c r="I556" s="75"/>
    </row>
    <row r="557" spans="4:9" ht="14.4" customHeight="1">
      <c r="D557" s="55"/>
      <c r="I557" s="75"/>
    </row>
    <row r="558" spans="4:9" ht="14.4" customHeight="1">
      <c r="D558" s="55"/>
      <c r="I558" s="75"/>
    </row>
    <row r="559" spans="4:9" ht="14.4" customHeight="1">
      <c r="D559" s="55"/>
      <c r="I559" s="75"/>
    </row>
    <row r="560" spans="4:9" ht="14.4" customHeight="1">
      <c r="D560" s="55"/>
      <c r="I560" s="75"/>
    </row>
    <row r="561" spans="4:9" ht="14.4" customHeight="1">
      <c r="D561" s="55"/>
      <c r="I561" s="75"/>
    </row>
    <row r="562" spans="4:9" ht="14.4" customHeight="1">
      <c r="D562" s="55"/>
      <c r="I562" s="75"/>
    </row>
    <row r="563" spans="4:9" ht="14.4" customHeight="1">
      <c r="D563" s="55"/>
      <c r="I563" s="75"/>
    </row>
    <row r="564" spans="4:9" ht="14.4" customHeight="1">
      <c r="D564" s="55"/>
      <c r="I564" s="75"/>
    </row>
    <row r="565" spans="4:9" ht="14.4" customHeight="1">
      <c r="D565" s="55"/>
      <c r="I565" s="75"/>
    </row>
    <row r="566" spans="4:9" ht="14.4" customHeight="1">
      <c r="D566" s="55"/>
      <c r="I566" s="75"/>
    </row>
    <row r="567" spans="4:9" ht="14.4" customHeight="1">
      <c r="D567" s="55"/>
      <c r="I567" s="75"/>
    </row>
    <row r="568" spans="4:9" ht="14.4" customHeight="1">
      <c r="D568" s="55"/>
      <c r="I568" s="75"/>
    </row>
    <row r="569" spans="4:9" ht="14.4" customHeight="1">
      <c r="D569" s="55"/>
      <c r="I569" s="75"/>
    </row>
    <row r="570" spans="4:9" ht="14.4" customHeight="1">
      <c r="D570" s="55"/>
      <c r="I570" s="75"/>
    </row>
    <row r="571" spans="4:9" ht="14.4" customHeight="1">
      <c r="D571" s="55"/>
      <c r="I571" s="75"/>
    </row>
    <row r="572" spans="4:9" ht="14.4" customHeight="1">
      <c r="D572" s="55"/>
      <c r="I572" s="75"/>
    </row>
    <row r="573" spans="4:9" ht="14.4" customHeight="1">
      <c r="D573" s="55"/>
      <c r="I573" s="75"/>
    </row>
    <row r="574" spans="4:9" ht="14.4" customHeight="1">
      <c r="D574" s="55"/>
      <c r="I574" s="75"/>
    </row>
    <row r="575" spans="4:9" ht="14.4" customHeight="1">
      <c r="D575" s="55"/>
      <c r="I575" s="75"/>
    </row>
    <row r="576" spans="4:9" ht="14.4" customHeight="1">
      <c r="D576" s="55"/>
      <c r="I576" s="75"/>
    </row>
    <row r="577" spans="4:9" ht="14.4" customHeight="1">
      <c r="D577" s="55"/>
      <c r="I577" s="75"/>
    </row>
    <row r="578" spans="4:9" ht="14.4" customHeight="1">
      <c r="D578" s="55"/>
      <c r="I578" s="75"/>
    </row>
    <row r="579" spans="4:9" ht="14.4" customHeight="1">
      <c r="D579" s="55"/>
      <c r="I579" s="75"/>
    </row>
    <row r="580" spans="4:9" ht="14.4" customHeight="1">
      <c r="D580" s="55"/>
      <c r="I580" s="75"/>
    </row>
    <row r="581" spans="4:9" ht="14.4" customHeight="1">
      <c r="D581" s="55"/>
      <c r="I581" s="75"/>
    </row>
    <row r="582" spans="4:9" ht="14.4" customHeight="1">
      <c r="D582" s="55"/>
      <c r="I582" s="75"/>
    </row>
    <row r="583" spans="4:9" ht="14.4" customHeight="1">
      <c r="D583" s="55"/>
      <c r="I583" s="75"/>
    </row>
    <row r="584" spans="4:9" ht="14.4" customHeight="1">
      <c r="D584" s="55"/>
      <c r="I584" s="75"/>
    </row>
    <row r="585" spans="4:9" ht="14.4" customHeight="1">
      <c r="D585" s="55"/>
      <c r="I585" s="75"/>
    </row>
    <row r="586" spans="4:9" ht="14.4" customHeight="1">
      <c r="D586" s="55"/>
      <c r="I586" s="75"/>
    </row>
    <row r="587" spans="4:9" ht="14.4" customHeight="1">
      <c r="D587" s="55"/>
      <c r="I587" s="75"/>
    </row>
    <row r="588" spans="4:9" ht="14.4" customHeight="1">
      <c r="D588" s="55"/>
      <c r="I588" s="75"/>
    </row>
    <row r="589" spans="4:9" ht="14.4" customHeight="1">
      <c r="D589" s="55"/>
      <c r="I589" s="75"/>
    </row>
    <row r="590" spans="4:9" ht="14.4" customHeight="1">
      <c r="D590" s="55"/>
      <c r="I590" s="75"/>
    </row>
    <row r="591" spans="4:9" ht="14.4" customHeight="1">
      <c r="D591" s="55"/>
      <c r="I591" s="75"/>
    </row>
    <row r="592" spans="4:9" ht="14.4" customHeight="1">
      <c r="D592" s="55"/>
      <c r="I592" s="75"/>
    </row>
    <row r="593" spans="4:9" ht="14.4" customHeight="1">
      <c r="D593" s="55"/>
      <c r="I593" s="75"/>
    </row>
    <row r="594" spans="4:9" ht="14.4" customHeight="1">
      <c r="D594" s="55"/>
      <c r="I594" s="75"/>
    </row>
    <row r="595" spans="4:9" ht="14.4" customHeight="1">
      <c r="D595" s="55"/>
      <c r="I595" s="75"/>
    </row>
    <row r="596" spans="4:9" ht="14.4" customHeight="1">
      <c r="D596" s="55"/>
      <c r="I596" s="75"/>
    </row>
    <row r="597" spans="4:9" ht="14.4" customHeight="1">
      <c r="D597" s="55"/>
      <c r="I597" s="75"/>
    </row>
    <row r="598" spans="4:9" ht="14.4" customHeight="1">
      <c r="D598" s="55"/>
      <c r="I598" s="75"/>
    </row>
    <row r="599" spans="4:9" ht="14.4" customHeight="1">
      <c r="D599" s="55"/>
      <c r="I599" s="75"/>
    </row>
    <row r="600" spans="4:9" ht="14.4" customHeight="1">
      <c r="D600" s="55"/>
      <c r="I600" s="75"/>
    </row>
    <row r="601" spans="4:9" ht="14.4" customHeight="1">
      <c r="D601" s="55"/>
      <c r="I601" s="75"/>
    </row>
    <row r="602" spans="4:9" ht="14.4" customHeight="1">
      <c r="D602" s="55"/>
      <c r="I602" s="75"/>
    </row>
    <row r="603" spans="4:9" ht="14.4" customHeight="1">
      <c r="D603" s="55"/>
      <c r="I603" s="75"/>
    </row>
    <row r="604" spans="4:9" ht="14.4" customHeight="1">
      <c r="D604" s="55"/>
      <c r="I604" s="75"/>
    </row>
    <row r="605" spans="4:9" ht="14.4" customHeight="1">
      <c r="D605" s="55"/>
      <c r="I605" s="75"/>
    </row>
    <row r="606" spans="4:9" ht="14.4" customHeight="1">
      <c r="D606" s="55"/>
      <c r="I606" s="75"/>
    </row>
    <row r="607" spans="4:9" ht="14.4" customHeight="1">
      <c r="D607" s="55"/>
      <c r="I607" s="75"/>
    </row>
    <row r="608" spans="4:9" ht="14.4" customHeight="1">
      <c r="D608" s="55"/>
      <c r="I608" s="75"/>
    </row>
    <row r="609" spans="4:9" ht="14.4" customHeight="1">
      <c r="D609" s="55"/>
      <c r="I609" s="75"/>
    </row>
    <row r="610" spans="4:9" ht="14.4" customHeight="1">
      <c r="D610" s="55"/>
      <c r="I610" s="75"/>
    </row>
    <row r="611" spans="4:9" ht="14.4" customHeight="1">
      <c r="D611" s="55"/>
      <c r="I611" s="75"/>
    </row>
    <row r="612" spans="4:9" ht="14.4" customHeight="1">
      <c r="D612" s="55"/>
      <c r="I612" s="75"/>
    </row>
    <row r="613" spans="4:9" ht="14.4" customHeight="1">
      <c r="D613" s="55"/>
      <c r="I613" s="75"/>
    </row>
    <row r="614" spans="4:9" ht="14.4" customHeight="1">
      <c r="D614" s="55"/>
      <c r="I614" s="75"/>
    </row>
    <row r="615" spans="4:9" ht="14.4" customHeight="1">
      <c r="D615" s="55"/>
      <c r="I615" s="75"/>
    </row>
    <row r="616" spans="4:9" ht="14.4" customHeight="1">
      <c r="D616" s="55"/>
      <c r="I616" s="75"/>
    </row>
    <row r="617" spans="4:9" ht="14.4" customHeight="1">
      <c r="D617" s="55"/>
      <c r="I617" s="75"/>
    </row>
    <row r="618" spans="4:9" ht="14.4" customHeight="1">
      <c r="D618" s="55"/>
      <c r="I618" s="75"/>
    </row>
    <row r="619" spans="4:9" ht="14.4" customHeight="1">
      <c r="D619" s="55"/>
      <c r="I619" s="75"/>
    </row>
    <row r="620" spans="4:9" ht="14.4" customHeight="1">
      <c r="D620" s="55"/>
      <c r="I620" s="75"/>
    </row>
    <row r="621" spans="4:9" ht="14.4" customHeight="1">
      <c r="D621" s="55"/>
      <c r="I621" s="75"/>
    </row>
    <row r="622" spans="4:9" ht="14.4" customHeight="1">
      <c r="D622" s="55"/>
      <c r="I622" s="75"/>
    </row>
    <row r="623" spans="4:9" ht="14.4" customHeight="1">
      <c r="D623" s="55"/>
      <c r="I623" s="75"/>
    </row>
    <row r="624" spans="4:9" ht="14.4" customHeight="1">
      <c r="D624" s="55"/>
      <c r="I624" s="75"/>
    </row>
    <row r="625" spans="4:9" ht="14.4" customHeight="1">
      <c r="D625" s="55"/>
      <c r="I625" s="75"/>
    </row>
    <row r="626" spans="4:9" ht="14.4" customHeight="1">
      <c r="D626" s="55"/>
      <c r="I626" s="75"/>
    </row>
    <row r="627" spans="4:9" ht="14.4" customHeight="1">
      <c r="D627" s="55"/>
      <c r="I627" s="75"/>
    </row>
    <row r="628" spans="4:9" ht="14.4" customHeight="1">
      <c r="D628" s="55"/>
      <c r="I628" s="75"/>
    </row>
    <row r="629" spans="4:9" ht="14.4" customHeight="1">
      <c r="D629" s="55"/>
      <c r="I629" s="75"/>
    </row>
    <row r="630" spans="4:9" ht="14.4" customHeight="1">
      <c r="D630" s="55"/>
      <c r="I630" s="75"/>
    </row>
    <row r="631" spans="4:9" ht="14.4" customHeight="1">
      <c r="D631" s="55"/>
      <c r="I631" s="75"/>
    </row>
    <row r="632" spans="4:9" ht="14.4" customHeight="1">
      <c r="D632" s="55"/>
      <c r="I632" s="75"/>
    </row>
    <row r="633" spans="4:9" ht="14.4" customHeight="1">
      <c r="D633" s="55"/>
      <c r="I633" s="75"/>
    </row>
    <row r="634" spans="4:9" ht="14.4" customHeight="1">
      <c r="D634" s="55"/>
      <c r="I634" s="75"/>
    </row>
    <row r="635" spans="4:9" ht="14.4" customHeight="1">
      <c r="D635" s="55"/>
      <c r="I635" s="75"/>
    </row>
    <row r="636" spans="4:9" ht="14.4" customHeight="1">
      <c r="D636" s="55"/>
      <c r="I636" s="75"/>
    </row>
    <row r="637" spans="4:9" ht="14.4" customHeight="1">
      <c r="D637" s="55"/>
      <c r="I637" s="75"/>
    </row>
    <row r="638" spans="4:9" ht="14.4" customHeight="1">
      <c r="D638" s="55"/>
      <c r="I638" s="75"/>
    </row>
    <row r="639" spans="4:9" ht="14.4" customHeight="1">
      <c r="D639" s="55"/>
      <c r="I639" s="75"/>
    </row>
    <row r="640" spans="4:9" ht="14.4" customHeight="1">
      <c r="D640" s="55"/>
      <c r="I640" s="75"/>
    </row>
    <row r="641" spans="4:9" ht="14.4" customHeight="1">
      <c r="D641" s="55"/>
      <c r="I641" s="75"/>
    </row>
    <row r="642" spans="4:9" ht="14.4" customHeight="1">
      <c r="D642" s="55"/>
      <c r="I642" s="75"/>
    </row>
    <row r="643" spans="4:9" ht="14.4" customHeight="1">
      <c r="D643" s="55"/>
      <c r="I643" s="75"/>
    </row>
    <row r="644" spans="4:9" ht="14.4" customHeight="1">
      <c r="D644" s="55"/>
      <c r="I644" s="75"/>
    </row>
    <row r="645" spans="4:9" ht="14.4" customHeight="1">
      <c r="D645" s="55"/>
      <c r="I645" s="75"/>
    </row>
    <row r="646" spans="4:9" ht="14.4" customHeight="1">
      <c r="D646" s="55"/>
      <c r="I646" s="75"/>
    </row>
    <row r="647" spans="4:9" ht="14.4" customHeight="1">
      <c r="D647" s="55"/>
      <c r="I647" s="75"/>
    </row>
    <row r="648" spans="4:9" ht="14.4" customHeight="1">
      <c r="D648" s="55"/>
      <c r="I648" s="75"/>
    </row>
    <row r="649" spans="4:9" ht="14.4" customHeight="1">
      <c r="D649" s="55"/>
      <c r="I649" s="75"/>
    </row>
    <row r="650" spans="4:9" ht="14.4" customHeight="1">
      <c r="D650" s="55"/>
      <c r="I650" s="75"/>
    </row>
    <row r="651" spans="4:9" ht="14.4" customHeight="1">
      <c r="D651" s="55"/>
      <c r="I651" s="75"/>
    </row>
    <row r="652" spans="4:9" ht="14.4" customHeight="1">
      <c r="D652" s="55"/>
      <c r="I652" s="75"/>
    </row>
    <row r="653" spans="4:9" ht="14.4" customHeight="1">
      <c r="D653" s="55"/>
      <c r="I653" s="75"/>
    </row>
    <row r="654" spans="4:9" ht="14.4" customHeight="1">
      <c r="D654" s="55"/>
      <c r="I654" s="75"/>
    </row>
    <row r="655" spans="4:9" ht="14.4" customHeight="1">
      <c r="D655" s="55"/>
      <c r="I655" s="75"/>
    </row>
    <row r="656" spans="4:9" ht="14.4" customHeight="1">
      <c r="D656" s="55"/>
      <c r="I656" s="75"/>
    </row>
    <row r="657" spans="4:9" ht="14.4" customHeight="1">
      <c r="D657" s="55"/>
      <c r="I657" s="75"/>
    </row>
    <row r="658" spans="4:9" ht="14.4" customHeight="1">
      <c r="D658" s="55"/>
      <c r="I658" s="75"/>
    </row>
    <row r="659" spans="4:9" ht="14.4" customHeight="1">
      <c r="D659" s="55"/>
      <c r="I659" s="75"/>
    </row>
    <row r="660" spans="4:9" ht="14.4" customHeight="1">
      <c r="D660" s="55"/>
      <c r="I660" s="75"/>
    </row>
    <row r="661" spans="4:9" ht="14.4" customHeight="1">
      <c r="D661" s="55"/>
      <c r="I661" s="75"/>
    </row>
    <row r="662" spans="4:9" ht="14.4" customHeight="1">
      <c r="D662" s="55"/>
      <c r="I662" s="75"/>
    </row>
    <row r="663" spans="4:9" ht="14.4" customHeight="1">
      <c r="D663" s="55"/>
      <c r="I663" s="75"/>
    </row>
    <row r="664" spans="4:9" ht="14.4" customHeight="1">
      <c r="D664" s="55"/>
      <c r="I664" s="75"/>
    </row>
    <row r="665" spans="4:9" ht="14.4" customHeight="1">
      <c r="D665" s="55"/>
      <c r="I665" s="75"/>
    </row>
    <row r="666" spans="4:9" ht="14.4" customHeight="1">
      <c r="D666" s="55"/>
      <c r="I666" s="75"/>
    </row>
    <row r="667" spans="4:9" ht="14.4" customHeight="1">
      <c r="D667" s="55"/>
      <c r="I667" s="75"/>
    </row>
    <row r="668" spans="4:9" ht="14.4" customHeight="1">
      <c r="D668" s="55"/>
      <c r="I668" s="75"/>
    </row>
    <row r="669" spans="4:9" ht="14.4" customHeight="1">
      <c r="D669" s="55"/>
      <c r="I669" s="75"/>
    </row>
    <row r="670" spans="4:9" ht="14.4" customHeight="1">
      <c r="D670" s="55"/>
      <c r="I670" s="75"/>
    </row>
    <row r="671" spans="4:9" ht="14.4" customHeight="1">
      <c r="D671" s="55"/>
      <c r="I671" s="75"/>
    </row>
    <row r="672" spans="4:9" ht="14.4" customHeight="1">
      <c r="D672" s="55"/>
      <c r="I672" s="75"/>
    </row>
    <row r="673" spans="4:9" ht="14.4" customHeight="1">
      <c r="D673" s="55"/>
      <c r="I673" s="75"/>
    </row>
    <row r="674" spans="4:9" ht="14.4" customHeight="1">
      <c r="D674" s="55"/>
      <c r="I674" s="75"/>
    </row>
    <row r="675" spans="4:9" ht="14.4" customHeight="1">
      <c r="D675" s="55"/>
      <c r="I675" s="75"/>
    </row>
    <row r="676" spans="4:9" ht="14.4" customHeight="1">
      <c r="D676" s="55"/>
      <c r="I676" s="75"/>
    </row>
    <row r="677" spans="4:9" ht="14.4" customHeight="1">
      <c r="D677" s="55"/>
      <c r="I677" s="75"/>
    </row>
    <row r="678" spans="4:9" ht="14.4" customHeight="1">
      <c r="D678" s="55"/>
      <c r="I678" s="75"/>
    </row>
    <row r="679" spans="4:9" ht="14.4" customHeight="1">
      <c r="D679" s="55"/>
      <c r="I679" s="75"/>
    </row>
    <row r="680" spans="4:9" ht="14.4" customHeight="1">
      <c r="D680" s="55"/>
      <c r="I680" s="75"/>
    </row>
    <row r="681" spans="4:9" ht="14.4" customHeight="1">
      <c r="D681" s="55"/>
      <c r="I681" s="75"/>
    </row>
    <row r="682" spans="4:9" ht="14.4" customHeight="1">
      <c r="D682" s="55"/>
      <c r="I682" s="75"/>
    </row>
    <row r="683" spans="4:9" ht="14.4" customHeight="1">
      <c r="D683" s="55"/>
      <c r="I683" s="75"/>
    </row>
    <row r="684" spans="4:9" ht="14.4" customHeight="1">
      <c r="D684" s="55"/>
      <c r="I684" s="75"/>
    </row>
    <row r="685" spans="4:9" ht="14.4" customHeight="1">
      <c r="D685" s="55"/>
      <c r="I685" s="75"/>
    </row>
    <row r="686" spans="4:9" ht="14.4" customHeight="1">
      <c r="D686" s="55"/>
      <c r="I686" s="75"/>
    </row>
    <row r="687" spans="4:9" ht="14.4" customHeight="1">
      <c r="D687" s="55"/>
      <c r="I687" s="75"/>
    </row>
    <row r="688" spans="4:9" ht="14.4" customHeight="1">
      <c r="D688" s="55"/>
      <c r="I688" s="75"/>
    </row>
    <row r="689" spans="4:9" ht="14.4" customHeight="1">
      <c r="D689" s="55"/>
      <c r="I689" s="75"/>
    </row>
    <row r="690" spans="4:9" ht="14.4" customHeight="1">
      <c r="D690" s="55"/>
      <c r="I690" s="75"/>
    </row>
    <row r="691" spans="4:9" ht="14.4" customHeight="1">
      <c r="D691" s="55"/>
      <c r="I691" s="75"/>
    </row>
    <row r="692" spans="4:9" ht="14.4" customHeight="1">
      <c r="D692" s="55"/>
      <c r="I692" s="75"/>
    </row>
    <row r="693" spans="4:9" ht="14.4" customHeight="1">
      <c r="D693" s="55"/>
      <c r="I693" s="75"/>
    </row>
    <row r="694" spans="4:9" ht="14.4" customHeight="1">
      <c r="D694" s="55"/>
      <c r="I694" s="75"/>
    </row>
    <row r="695" spans="4:9" ht="14.4" customHeight="1">
      <c r="D695" s="55"/>
      <c r="I695" s="75"/>
    </row>
    <row r="696" spans="4:9" ht="14.4" customHeight="1">
      <c r="D696" s="55"/>
      <c r="I696" s="75"/>
    </row>
    <row r="697" spans="4:9" ht="14.4" customHeight="1">
      <c r="D697" s="55"/>
      <c r="I697" s="75"/>
    </row>
    <row r="698" spans="4:9" ht="14.4" customHeight="1">
      <c r="D698" s="55"/>
      <c r="I698" s="75"/>
    </row>
    <row r="699" spans="4:9" ht="14.4" customHeight="1">
      <c r="D699" s="55"/>
      <c r="I699" s="75"/>
    </row>
    <row r="700" spans="4:9" ht="14.4" customHeight="1">
      <c r="D700" s="55"/>
      <c r="I700" s="75"/>
    </row>
    <row r="701" spans="4:9" ht="14.4" customHeight="1">
      <c r="D701" s="55"/>
      <c r="I701" s="75"/>
    </row>
    <row r="702" spans="4:9" ht="14.4" customHeight="1">
      <c r="D702" s="55"/>
      <c r="I702" s="75"/>
    </row>
    <row r="703" spans="4:9" ht="14.4" customHeight="1">
      <c r="D703" s="55"/>
      <c r="I703" s="75"/>
    </row>
    <row r="704" spans="4:9" ht="14.4" customHeight="1">
      <c r="D704" s="55"/>
      <c r="I704" s="75"/>
    </row>
    <row r="705" spans="4:9" ht="14.4" customHeight="1">
      <c r="D705" s="55"/>
      <c r="I705" s="75"/>
    </row>
    <row r="706" spans="4:9" ht="14.4" customHeight="1">
      <c r="D706" s="55"/>
      <c r="I706" s="75"/>
    </row>
    <row r="707" spans="4:9" ht="14.4" customHeight="1">
      <c r="D707" s="55"/>
      <c r="I707" s="75"/>
    </row>
    <row r="708" spans="4:9" ht="14.4" customHeight="1">
      <c r="D708" s="55"/>
      <c r="I708" s="75"/>
    </row>
    <row r="709" spans="4:9" ht="14.4" customHeight="1">
      <c r="D709" s="55"/>
      <c r="I709" s="75"/>
    </row>
    <row r="710" spans="4:9" ht="14.4" customHeight="1">
      <c r="D710" s="55"/>
      <c r="I710" s="75"/>
    </row>
    <row r="711" spans="4:9" ht="14.4" customHeight="1">
      <c r="D711" s="55"/>
      <c r="I711" s="75"/>
    </row>
    <row r="712" spans="4:9" ht="14.4" customHeight="1">
      <c r="D712" s="55"/>
      <c r="I712" s="75"/>
    </row>
    <row r="713" spans="4:9" ht="14.4" customHeight="1">
      <c r="D713" s="55"/>
      <c r="I713" s="75"/>
    </row>
    <row r="714" spans="4:9" ht="14.4" customHeight="1">
      <c r="D714" s="55"/>
      <c r="I714" s="75"/>
    </row>
    <row r="715" spans="4:9" ht="14.4" customHeight="1">
      <c r="D715" s="55"/>
      <c r="I715" s="75"/>
    </row>
    <row r="716" spans="4:9" ht="14.4" customHeight="1">
      <c r="D716" s="55"/>
      <c r="I716" s="75"/>
    </row>
    <row r="717" spans="4:9" ht="14.4" customHeight="1">
      <c r="D717" s="55"/>
      <c r="I717" s="75"/>
    </row>
    <row r="718" spans="4:9" ht="14.4" customHeight="1">
      <c r="D718" s="55"/>
      <c r="I718" s="75"/>
    </row>
    <row r="719" spans="4:9" ht="14.4" customHeight="1">
      <c r="D719" s="55"/>
      <c r="I719" s="75"/>
    </row>
    <row r="720" spans="4:9" ht="14.4" customHeight="1">
      <c r="D720" s="55"/>
      <c r="I720" s="75"/>
    </row>
    <row r="721" spans="4:9" ht="14.4" customHeight="1">
      <c r="D721" s="55"/>
      <c r="I721" s="75"/>
    </row>
    <row r="722" spans="4:9" ht="14.4" customHeight="1">
      <c r="D722" s="55"/>
      <c r="I722" s="75"/>
    </row>
    <row r="723" spans="4:9" ht="14.4" customHeight="1">
      <c r="D723" s="55"/>
      <c r="I723" s="75"/>
    </row>
    <row r="724" spans="4:9" ht="14.4" customHeight="1">
      <c r="D724" s="55"/>
      <c r="I724" s="75"/>
    </row>
    <row r="725" spans="4:9" ht="14.4" customHeight="1">
      <c r="D725" s="55"/>
      <c r="I725" s="75"/>
    </row>
    <row r="726" spans="4:9" ht="14.4" customHeight="1">
      <c r="D726" s="55"/>
      <c r="I726" s="75"/>
    </row>
    <row r="727" spans="4:9" ht="14.4" customHeight="1">
      <c r="D727" s="55"/>
      <c r="I727" s="75"/>
    </row>
    <row r="728" spans="4:9" ht="14.4" customHeight="1">
      <c r="D728" s="55"/>
      <c r="I728" s="75"/>
    </row>
    <row r="729" spans="4:9" ht="14.4" customHeight="1">
      <c r="D729" s="55"/>
      <c r="I729" s="75"/>
    </row>
    <row r="730" spans="4:9" ht="14.4" customHeight="1">
      <c r="D730" s="55"/>
      <c r="I730" s="75"/>
    </row>
    <row r="731" spans="4:9" ht="14.4" customHeight="1">
      <c r="D731" s="55"/>
      <c r="I731" s="75"/>
    </row>
    <row r="732" spans="4:9" ht="14.4" customHeight="1">
      <c r="D732" s="55"/>
      <c r="I732" s="75"/>
    </row>
    <row r="733" spans="4:9" ht="14.4" customHeight="1">
      <c r="D733" s="55"/>
      <c r="I733" s="75"/>
    </row>
    <row r="734" spans="4:9" ht="14.4" customHeight="1">
      <c r="D734" s="55"/>
      <c r="I734" s="75"/>
    </row>
    <row r="735" spans="4:9" ht="14.4" customHeight="1">
      <c r="D735" s="55"/>
      <c r="I735" s="75"/>
    </row>
    <row r="736" spans="4:9" ht="14.4" customHeight="1">
      <c r="D736" s="55"/>
      <c r="I736" s="75"/>
    </row>
    <row r="737" spans="4:9" ht="14.4" customHeight="1">
      <c r="D737" s="55"/>
      <c r="I737" s="75"/>
    </row>
    <row r="738" spans="4:9" ht="14.4" customHeight="1">
      <c r="D738" s="55"/>
      <c r="I738" s="75"/>
    </row>
    <row r="739" spans="4:9" ht="14.4" customHeight="1">
      <c r="D739" s="55"/>
      <c r="I739" s="75"/>
    </row>
    <row r="740" spans="4:9" ht="14.4" customHeight="1">
      <c r="D740" s="55"/>
      <c r="I740" s="75"/>
    </row>
    <row r="741" spans="4:9" ht="14.4" customHeight="1">
      <c r="D741" s="55"/>
      <c r="I741" s="75"/>
    </row>
    <row r="742" spans="4:9" ht="14.4" customHeight="1">
      <c r="D742" s="55"/>
      <c r="I742" s="75"/>
    </row>
    <row r="743" spans="4:9" ht="14.4" customHeight="1">
      <c r="D743" s="55"/>
      <c r="I743" s="75"/>
    </row>
    <row r="744" spans="4:9" ht="14.4" customHeight="1">
      <c r="D744" s="55"/>
      <c r="I744" s="75"/>
    </row>
    <row r="745" spans="4:9" ht="14.4" customHeight="1">
      <c r="D745" s="55"/>
      <c r="I745" s="75"/>
    </row>
    <row r="746" spans="4:9" ht="14.4" customHeight="1">
      <c r="D746" s="55"/>
      <c r="I746" s="75"/>
    </row>
    <row r="747" spans="4:9" ht="14.4" customHeight="1">
      <c r="D747" s="55"/>
      <c r="I747" s="75"/>
    </row>
    <row r="748" spans="4:9" ht="14.4" customHeight="1">
      <c r="D748" s="55"/>
      <c r="I748" s="75"/>
    </row>
    <row r="749" spans="4:9" ht="14.4" customHeight="1">
      <c r="D749" s="55"/>
      <c r="I749" s="75"/>
    </row>
    <row r="750" spans="4:9" ht="14.4" customHeight="1">
      <c r="D750" s="55"/>
      <c r="I750" s="75"/>
    </row>
    <row r="751" spans="4:9" ht="14.4" customHeight="1">
      <c r="D751" s="55"/>
      <c r="I751" s="75"/>
    </row>
    <row r="752" spans="4:9" ht="14.4" customHeight="1">
      <c r="D752" s="55"/>
      <c r="I752" s="75"/>
    </row>
    <row r="753" spans="4:9" ht="14.4" customHeight="1">
      <c r="D753" s="55"/>
      <c r="I753" s="75"/>
    </row>
    <row r="754" spans="4:9" ht="14.4" customHeight="1">
      <c r="D754" s="55"/>
      <c r="I754" s="75"/>
    </row>
    <row r="755" spans="4:9" ht="14.4" customHeight="1">
      <c r="D755" s="55"/>
      <c r="I755" s="75"/>
    </row>
    <row r="756" spans="4:9" ht="14.4" customHeight="1">
      <c r="D756" s="55"/>
      <c r="I756" s="75"/>
    </row>
    <row r="757" spans="4:9" ht="14.4" customHeight="1">
      <c r="D757" s="55"/>
      <c r="I757" s="75"/>
    </row>
    <row r="758" spans="4:9" ht="14.4" customHeight="1">
      <c r="D758" s="55"/>
      <c r="I758" s="75"/>
    </row>
    <row r="759" spans="4:9" ht="14.4" customHeight="1">
      <c r="D759" s="55"/>
      <c r="I759" s="75"/>
    </row>
    <row r="760" spans="4:9" ht="14.4" customHeight="1">
      <c r="D760" s="55"/>
      <c r="I760" s="75"/>
    </row>
    <row r="761" spans="4:9" ht="14.4" customHeight="1">
      <c r="D761" s="55"/>
      <c r="I761" s="75"/>
    </row>
    <row r="762" spans="4:9" ht="14.4" customHeight="1">
      <c r="D762" s="55"/>
      <c r="I762" s="75"/>
    </row>
    <row r="763" spans="4:9" ht="14.4" customHeight="1">
      <c r="D763" s="55"/>
      <c r="I763" s="75"/>
    </row>
    <row r="764" spans="4:9" ht="14.4" customHeight="1">
      <c r="D764" s="55"/>
      <c r="I764" s="75"/>
    </row>
    <row r="765" spans="4:9" ht="14.4" customHeight="1">
      <c r="D765" s="55"/>
      <c r="I765" s="75"/>
    </row>
    <row r="766" spans="4:9" ht="14.4" customHeight="1">
      <c r="D766" s="55"/>
      <c r="I766" s="75"/>
    </row>
    <row r="767" spans="4:9" ht="14.4" customHeight="1">
      <c r="D767" s="55"/>
      <c r="I767" s="75"/>
    </row>
    <row r="768" spans="4:9" ht="14.4" customHeight="1">
      <c r="D768" s="55"/>
      <c r="I768" s="75"/>
    </row>
    <row r="769" spans="4:9" ht="14.4" customHeight="1">
      <c r="D769" s="55"/>
      <c r="I769" s="75"/>
    </row>
    <row r="770" spans="4:9" ht="14.4" customHeight="1">
      <c r="D770" s="55"/>
      <c r="I770" s="75"/>
    </row>
    <row r="771" spans="4:9" ht="14.4" customHeight="1">
      <c r="D771" s="55"/>
      <c r="I771" s="75"/>
    </row>
    <row r="772" spans="4:9" ht="14.4" customHeight="1">
      <c r="D772" s="55"/>
      <c r="I772" s="75"/>
    </row>
    <row r="773" spans="4:9" ht="14.4" customHeight="1">
      <c r="D773" s="55"/>
      <c r="I773" s="75"/>
    </row>
    <row r="774" spans="4:9" ht="14.4" customHeight="1">
      <c r="D774" s="55"/>
      <c r="I774" s="75"/>
    </row>
    <row r="775" spans="4:9" ht="14.4" customHeight="1">
      <c r="D775" s="55"/>
      <c r="I775" s="75"/>
    </row>
    <row r="776" spans="4:9" ht="14.4" customHeight="1">
      <c r="D776" s="55"/>
      <c r="I776" s="75"/>
    </row>
    <row r="777" spans="4:9" ht="14.4" customHeight="1">
      <c r="D777" s="55"/>
      <c r="I777" s="75"/>
    </row>
    <row r="778" spans="4:9" ht="14.4" customHeight="1">
      <c r="D778" s="55"/>
      <c r="I778" s="75"/>
    </row>
    <row r="779" spans="4:9" ht="14.4" customHeight="1">
      <c r="D779" s="55"/>
      <c r="I779" s="75"/>
    </row>
    <row r="780" spans="4:9" ht="14.4" customHeight="1">
      <c r="D780" s="55"/>
      <c r="I780" s="75"/>
    </row>
    <row r="781" spans="4:9" ht="14.4" customHeight="1">
      <c r="D781" s="55"/>
      <c r="I781" s="75"/>
    </row>
    <row r="782" spans="4:9" ht="14.4" customHeight="1">
      <c r="D782" s="55"/>
      <c r="I782" s="75"/>
    </row>
    <row r="783" spans="4:9" ht="14.4" customHeight="1">
      <c r="D783" s="55"/>
      <c r="I783" s="75"/>
    </row>
    <row r="784" spans="4:9" ht="14.4" customHeight="1">
      <c r="D784" s="55"/>
      <c r="I784" s="75"/>
    </row>
    <row r="785" spans="4:9" ht="14.4" customHeight="1">
      <c r="D785" s="55"/>
      <c r="I785" s="75"/>
    </row>
    <row r="786" spans="4:9" ht="14.4" customHeight="1">
      <c r="D786" s="55"/>
      <c r="I786" s="75"/>
    </row>
    <row r="787" spans="4:9" ht="14.4" customHeight="1">
      <c r="D787" s="55"/>
      <c r="I787" s="75"/>
    </row>
    <row r="788" spans="4:9" ht="14.4" customHeight="1">
      <c r="D788" s="55"/>
      <c r="I788" s="75"/>
    </row>
    <row r="789" spans="4:9" ht="14.4" customHeight="1">
      <c r="D789" s="55"/>
      <c r="I789" s="75"/>
    </row>
    <row r="790" spans="4:9" ht="14.4" customHeight="1">
      <c r="D790" s="55"/>
      <c r="I790" s="75"/>
    </row>
    <row r="791" spans="4:9" ht="14.4" customHeight="1">
      <c r="D791" s="55"/>
      <c r="I791" s="75"/>
    </row>
    <row r="792" spans="4:9" ht="14.4" customHeight="1">
      <c r="D792" s="55"/>
      <c r="I792" s="75"/>
    </row>
    <row r="793" spans="4:9" ht="14.4" customHeight="1">
      <c r="D793" s="55"/>
      <c r="I793" s="75"/>
    </row>
    <row r="794" spans="4:9" ht="14.4" customHeight="1">
      <c r="D794" s="55"/>
      <c r="I794" s="75"/>
    </row>
    <row r="795" spans="4:9" ht="14.4" customHeight="1">
      <c r="D795" s="55"/>
      <c r="I795" s="75"/>
    </row>
    <row r="796" spans="4:9" ht="14.4" customHeight="1">
      <c r="D796" s="55"/>
      <c r="I796" s="75"/>
    </row>
    <row r="797" spans="4:9" ht="14.4" customHeight="1">
      <c r="D797" s="55"/>
      <c r="I797" s="75"/>
    </row>
    <row r="798" spans="4:9" ht="14.4" customHeight="1">
      <c r="D798" s="55"/>
      <c r="I798" s="75"/>
    </row>
    <row r="799" spans="4:9" ht="14.4" customHeight="1">
      <c r="D799" s="55"/>
      <c r="I799" s="75"/>
    </row>
    <row r="800" spans="4:9" ht="14.4" customHeight="1">
      <c r="D800" s="55"/>
      <c r="I800" s="75"/>
    </row>
    <row r="801" spans="4:9" ht="14.4" customHeight="1">
      <c r="D801" s="55"/>
      <c r="I801" s="75"/>
    </row>
    <row r="802" spans="4:9" ht="14.4" customHeight="1">
      <c r="D802" s="55"/>
      <c r="I802" s="75"/>
    </row>
    <row r="803" spans="4:9" ht="14.4" customHeight="1">
      <c r="D803" s="55"/>
      <c r="I803" s="75"/>
    </row>
    <row r="804" spans="4:9" ht="14.4" customHeight="1">
      <c r="D804" s="55"/>
      <c r="I804" s="75"/>
    </row>
    <row r="805" spans="4:9" ht="14.4" customHeight="1">
      <c r="D805" s="55"/>
      <c r="I805" s="75"/>
    </row>
    <row r="806" spans="4:9" ht="14.4" customHeight="1">
      <c r="D806" s="55"/>
      <c r="I806" s="75"/>
    </row>
    <row r="807" spans="4:9" ht="14.4" customHeight="1">
      <c r="D807" s="55"/>
      <c r="I807" s="75"/>
    </row>
    <row r="808" spans="4:9" ht="14.4" customHeight="1">
      <c r="D808" s="55"/>
      <c r="I808" s="75"/>
    </row>
    <row r="809" spans="4:9" ht="14.4" customHeight="1">
      <c r="D809" s="55"/>
      <c r="I809" s="75"/>
    </row>
    <row r="810" spans="4:9" ht="14.4" customHeight="1">
      <c r="D810" s="55"/>
      <c r="I810" s="75"/>
    </row>
    <row r="811" spans="4:9" ht="14.4" customHeight="1">
      <c r="D811" s="55"/>
      <c r="I811" s="75"/>
    </row>
    <row r="812" spans="4:9" ht="14.4" customHeight="1">
      <c r="D812" s="55"/>
      <c r="I812" s="75"/>
    </row>
    <row r="813" spans="4:9" ht="14.4" customHeight="1">
      <c r="D813" s="55"/>
      <c r="I813" s="75"/>
    </row>
    <row r="814" spans="4:9" ht="14.4" customHeight="1">
      <c r="D814" s="55"/>
      <c r="I814" s="75"/>
    </row>
    <row r="815" spans="4:9" ht="14.4" customHeight="1">
      <c r="D815" s="55"/>
      <c r="I815" s="75"/>
    </row>
    <row r="816" spans="4:9" ht="14.4" customHeight="1">
      <c r="D816" s="55"/>
      <c r="I816" s="75"/>
    </row>
    <row r="817" spans="4:9" ht="14.4" customHeight="1">
      <c r="D817" s="55"/>
      <c r="I817" s="75"/>
    </row>
    <row r="818" spans="4:9" ht="14.4" customHeight="1">
      <c r="D818" s="55"/>
      <c r="I818" s="75"/>
    </row>
    <row r="819" spans="4:9" ht="14.4" customHeight="1">
      <c r="D819" s="55"/>
      <c r="I819" s="75"/>
    </row>
    <row r="820" spans="4:9" ht="14.4" customHeight="1">
      <c r="D820" s="55"/>
      <c r="I820" s="75"/>
    </row>
    <row r="821" spans="4:9" ht="14.4" customHeight="1">
      <c r="D821" s="55"/>
      <c r="I821" s="75"/>
    </row>
    <row r="822" spans="4:9" ht="14.4" customHeight="1">
      <c r="D822" s="55"/>
      <c r="I822" s="75"/>
    </row>
    <row r="823" spans="4:9" ht="14.4" customHeight="1">
      <c r="D823" s="55"/>
      <c r="I823" s="75"/>
    </row>
    <row r="824" spans="4:9" ht="14.4" customHeight="1">
      <c r="D824" s="55"/>
      <c r="I824" s="75"/>
    </row>
    <row r="825" spans="4:9" ht="14.4" customHeight="1">
      <c r="D825" s="55"/>
      <c r="I825" s="75"/>
    </row>
    <row r="826" spans="4:9" ht="14.4" customHeight="1">
      <c r="D826" s="55"/>
      <c r="I826" s="75"/>
    </row>
    <row r="827" spans="4:9" ht="14.4" customHeight="1">
      <c r="D827" s="55"/>
      <c r="I827" s="75"/>
    </row>
    <row r="828" spans="4:9" ht="14.4" customHeight="1">
      <c r="D828" s="55"/>
      <c r="I828" s="75"/>
    </row>
    <row r="829" spans="4:9" ht="14.4" customHeight="1">
      <c r="D829" s="55"/>
      <c r="I829" s="75"/>
    </row>
    <row r="830" spans="4:9" ht="14.4" customHeight="1">
      <c r="D830" s="55"/>
      <c r="I830" s="75"/>
    </row>
    <row r="831" spans="4:9" ht="14.4" customHeight="1">
      <c r="D831" s="55"/>
      <c r="I831" s="75"/>
    </row>
    <row r="832" spans="4:9" ht="14.4" customHeight="1">
      <c r="D832" s="55"/>
      <c r="I832" s="75"/>
    </row>
    <row r="833" spans="4:9" ht="14.4" customHeight="1">
      <c r="D833" s="55"/>
      <c r="I833" s="75"/>
    </row>
    <row r="834" spans="4:9" ht="14.4" customHeight="1">
      <c r="D834" s="55"/>
      <c r="I834" s="75"/>
    </row>
    <row r="835" spans="4:9" ht="14.4" customHeight="1">
      <c r="D835" s="55"/>
      <c r="I835" s="75"/>
    </row>
    <row r="836" spans="4:9" ht="14.4" customHeight="1">
      <c r="D836" s="55"/>
      <c r="I836" s="75"/>
    </row>
    <row r="837" spans="4:9" ht="14.4" customHeight="1">
      <c r="D837" s="55"/>
      <c r="I837" s="75"/>
    </row>
    <row r="838" spans="4:9" ht="14.4" customHeight="1">
      <c r="D838" s="55"/>
      <c r="I838" s="75"/>
    </row>
    <row r="839" spans="4:9" ht="14.4" customHeight="1">
      <c r="D839" s="55"/>
      <c r="I839" s="75"/>
    </row>
    <row r="840" spans="4:9" ht="14.4" customHeight="1">
      <c r="D840" s="55"/>
      <c r="I840" s="75"/>
    </row>
    <row r="841" spans="4:9" ht="14.4" customHeight="1">
      <c r="D841" s="55"/>
      <c r="I841" s="75"/>
    </row>
    <row r="842" spans="4:9" ht="14.4" customHeight="1">
      <c r="D842" s="55"/>
      <c r="I842" s="75"/>
    </row>
    <row r="843" spans="4:9" ht="14.4" customHeight="1">
      <c r="D843" s="55"/>
      <c r="I843" s="75"/>
    </row>
    <row r="844" spans="4:9" ht="14.4" customHeight="1">
      <c r="D844" s="55"/>
      <c r="I844" s="75"/>
    </row>
    <row r="845" spans="4:9" ht="14.4" customHeight="1">
      <c r="D845" s="55"/>
      <c r="I845" s="75"/>
    </row>
    <row r="846" spans="4:9" ht="14.4" customHeight="1">
      <c r="D846" s="55"/>
      <c r="I846" s="75"/>
    </row>
    <row r="847" spans="4:9" ht="14.4" customHeight="1">
      <c r="D847" s="55"/>
      <c r="I847" s="75"/>
    </row>
    <row r="848" spans="4:9" ht="14.4" customHeight="1">
      <c r="D848" s="55"/>
      <c r="I848" s="75"/>
    </row>
    <row r="849" spans="4:9" ht="14.4" customHeight="1">
      <c r="D849" s="55"/>
      <c r="I849" s="75"/>
    </row>
    <row r="850" spans="4:9" ht="14.4" customHeight="1">
      <c r="D850" s="55"/>
      <c r="I850" s="75"/>
    </row>
    <row r="851" spans="4:9" ht="14.4" customHeight="1">
      <c r="D851" s="55"/>
      <c r="I851" s="75"/>
    </row>
    <row r="852" spans="4:9" ht="14.4" customHeight="1">
      <c r="D852" s="55"/>
      <c r="I852" s="75"/>
    </row>
    <row r="853" spans="4:9" ht="14.4" customHeight="1">
      <c r="D853" s="55"/>
      <c r="I853" s="75"/>
    </row>
    <row r="854" spans="4:9" ht="14.4" customHeight="1">
      <c r="D854" s="55"/>
      <c r="I854" s="75"/>
    </row>
    <row r="855" spans="4:9" ht="14.4" customHeight="1">
      <c r="D855" s="55"/>
      <c r="I855" s="75"/>
    </row>
    <row r="856" spans="4:9" ht="14.4" customHeight="1">
      <c r="D856" s="55"/>
      <c r="I856" s="75"/>
    </row>
    <row r="857" spans="4:9" ht="14.4" customHeight="1">
      <c r="D857" s="55"/>
      <c r="I857" s="75"/>
    </row>
    <row r="858" spans="4:9" ht="14.4" customHeight="1">
      <c r="D858" s="55"/>
      <c r="I858" s="75"/>
    </row>
    <row r="859" spans="4:9" ht="14.4" customHeight="1">
      <c r="D859" s="55"/>
      <c r="I859" s="75"/>
    </row>
    <row r="860" spans="4:9" ht="14.4" customHeight="1">
      <c r="D860" s="55"/>
      <c r="I860" s="75"/>
    </row>
    <row r="861" spans="4:9" ht="14.4" customHeight="1">
      <c r="D861" s="55"/>
      <c r="I861" s="75"/>
    </row>
    <row r="862" spans="4:9" ht="14.4" customHeight="1">
      <c r="D862" s="55"/>
      <c r="I862" s="75"/>
    </row>
    <row r="863" spans="4:9" ht="14.4" customHeight="1">
      <c r="D863" s="55"/>
      <c r="I863" s="75"/>
    </row>
    <row r="864" spans="4:9" ht="14.4" customHeight="1">
      <c r="D864" s="55"/>
      <c r="I864" s="75"/>
    </row>
    <row r="865" spans="4:9" ht="14.4" customHeight="1">
      <c r="D865" s="55"/>
      <c r="I865" s="75"/>
    </row>
    <row r="866" spans="4:9" ht="14.4" customHeight="1">
      <c r="D866" s="55"/>
      <c r="I866" s="75"/>
    </row>
    <row r="867" spans="4:9" ht="14.4" customHeight="1">
      <c r="D867" s="55"/>
      <c r="I867" s="75"/>
    </row>
    <row r="868" spans="4:9" ht="14.4" customHeight="1">
      <c r="D868" s="55"/>
      <c r="I868" s="75"/>
    </row>
    <row r="869" spans="4:9" ht="14.4" customHeight="1">
      <c r="D869" s="55"/>
      <c r="I869" s="75"/>
    </row>
    <row r="870" spans="4:9" ht="14.4" customHeight="1">
      <c r="D870" s="55"/>
      <c r="I870" s="75"/>
    </row>
    <row r="871" spans="4:9" ht="14.4" customHeight="1">
      <c r="D871" s="55"/>
      <c r="I871" s="75"/>
    </row>
    <row r="872" spans="4:9" ht="14.4" customHeight="1">
      <c r="D872" s="55"/>
      <c r="I872" s="75"/>
    </row>
    <row r="873" spans="4:9" ht="14.4" customHeight="1">
      <c r="D873" s="55"/>
      <c r="I873" s="75"/>
    </row>
    <row r="874" spans="4:9" ht="14.4" customHeight="1">
      <c r="D874" s="55"/>
      <c r="I874" s="75"/>
    </row>
    <row r="875" spans="4:9" ht="14.4" customHeight="1">
      <c r="D875" s="55"/>
      <c r="I875" s="75"/>
    </row>
    <row r="876" spans="4:9" ht="14.4" customHeight="1">
      <c r="D876" s="55"/>
      <c r="I876" s="75"/>
    </row>
    <row r="877" spans="4:9" ht="14.4" customHeight="1">
      <c r="D877" s="55"/>
      <c r="I877" s="75"/>
    </row>
    <row r="878" spans="4:9" ht="14.4" customHeight="1">
      <c r="D878" s="55"/>
      <c r="I878" s="75"/>
    </row>
    <row r="879" spans="4:9" ht="14.4" customHeight="1">
      <c r="D879" s="55"/>
      <c r="I879" s="75"/>
    </row>
    <row r="880" spans="4:9" ht="14.4" customHeight="1">
      <c r="D880" s="55"/>
      <c r="I880" s="75"/>
    </row>
    <row r="881" spans="4:9" ht="14.4" customHeight="1">
      <c r="D881" s="55"/>
      <c r="I881" s="75"/>
    </row>
    <row r="882" spans="4:9" ht="14.4" customHeight="1">
      <c r="D882" s="55"/>
      <c r="I882" s="75"/>
    </row>
    <row r="883" spans="4:9" ht="14.4" customHeight="1">
      <c r="D883" s="55"/>
      <c r="I883" s="75"/>
    </row>
    <row r="884" spans="4:9" ht="14.4" customHeight="1">
      <c r="D884" s="55"/>
      <c r="I884" s="75"/>
    </row>
    <row r="885" spans="4:9" ht="14.4" customHeight="1">
      <c r="D885" s="55"/>
      <c r="I885" s="75"/>
    </row>
    <row r="886" spans="4:9" ht="14.4" customHeight="1">
      <c r="D886" s="55"/>
      <c r="I886" s="75"/>
    </row>
    <row r="887" spans="4:9" ht="14.4" customHeight="1">
      <c r="D887" s="55"/>
      <c r="I887" s="75"/>
    </row>
    <row r="888" spans="4:9" ht="14.4" customHeight="1">
      <c r="D888" s="55"/>
      <c r="I888" s="75"/>
    </row>
    <row r="889" spans="4:9" ht="14.4" customHeight="1">
      <c r="D889" s="55"/>
      <c r="I889" s="75"/>
    </row>
    <row r="890" spans="4:9" ht="14.4" customHeight="1">
      <c r="D890" s="55"/>
      <c r="I890" s="75"/>
    </row>
    <row r="891" spans="4:9" ht="14.4" customHeight="1">
      <c r="D891" s="55"/>
      <c r="I891" s="75"/>
    </row>
    <row r="892" spans="4:9" ht="14.4" customHeight="1">
      <c r="D892" s="55"/>
      <c r="I892" s="75"/>
    </row>
    <row r="893" spans="4:9" ht="14.4" customHeight="1">
      <c r="D893" s="55"/>
      <c r="I893" s="75"/>
    </row>
    <row r="894" spans="4:9" ht="14.4" customHeight="1">
      <c r="D894" s="55"/>
      <c r="I894" s="75"/>
    </row>
    <row r="895" spans="4:9" ht="14.4" customHeight="1">
      <c r="D895" s="55"/>
      <c r="I895" s="75"/>
    </row>
    <row r="896" spans="4:9" ht="14.4" customHeight="1">
      <c r="D896" s="55"/>
      <c r="I896" s="75"/>
    </row>
    <row r="897" spans="4:9" ht="14.4" customHeight="1">
      <c r="D897" s="55"/>
      <c r="I897" s="75"/>
    </row>
    <row r="898" spans="4:9" ht="14.4" customHeight="1">
      <c r="D898" s="55"/>
      <c r="I898" s="75"/>
    </row>
    <row r="899" spans="4:9" ht="14.4" customHeight="1">
      <c r="D899" s="55"/>
      <c r="I899" s="75"/>
    </row>
    <row r="900" spans="4:9" ht="14.4" customHeight="1">
      <c r="D900" s="55"/>
      <c r="I900" s="75"/>
    </row>
    <row r="901" spans="4:9" ht="14.4" customHeight="1">
      <c r="D901" s="55"/>
      <c r="I901" s="75"/>
    </row>
    <row r="902" spans="4:9" ht="14.4" customHeight="1">
      <c r="D902" s="55"/>
      <c r="I902" s="75"/>
    </row>
    <row r="903" spans="4:9" ht="14.4" customHeight="1">
      <c r="D903" s="55"/>
      <c r="I903" s="75"/>
    </row>
    <row r="904" spans="4:9" ht="14.4" customHeight="1">
      <c r="D904" s="55"/>
      <c r="I904" s="75"/>
    </row>
    <row r="905" spans="4:9" ht="14.4" customHeight="1">
      <c r="D905" s="55"/>
      <c r="I905" s="75"/>
    </row>
    <row r="906" spans="4:9" ht="14.4" customHeight="1">
      <c r="D906" s="55"/>
      <c r="I906" s="75"/>
    </row>
    <row r="907" spans="4:9" ht="14.4" customHeight="1">
      <c r="D907" s="55"/>
      <c r="I907" s="75"/>
    </row>
    <row r="908" spans="4:9" ht="14.4" customHeight="1">
      <c r="D908" s="55"/>
      <c r="I908" s="75"/>
    </row>
    <row r="909" spans="4:9" ht="14.4" customHeight="1">
      <c r="D909" s="55"/>
      <c r="I909" s="75"/>
    </row>
    <row r="910" spans="4:9" ht="14.4" customHeight="1">
      <c r="D910" s="55"/>
      <c r="I910" s="75"/>
    </row>
    <row r="911" spans="4:9" ht="14.4" customHeight="1">
      <c r="D911" s="55"/>
      <c r="I911" s="75"/>
    </row>
    <row r="912" spans="4:9" ht="14.4" customHeight="1">
      <c r="D912" s="55"/>
      <c r="I912" s="75"/>
    </row>
    <row r="913" spans="4:9" ht="14.4" customHeight="1">
      <c r="D913" s="55"/>
      <c r="I913" s="75"/>
    </row>
    <row r="914" spans="4:9" ht="14.4" customHeight="1">
      <c r="D914" s="55"/>
      <c r="I914" s="75"/>
    </row>
    <row r="915" spans="4:9" ht="14.4" customHeight="1">
      <c r="D915" s="55"/>
      <c r="I915" s="75"/>
    </row>
    <row r="916" spans="4:9" ht="14.4" customHeight="1">
      <c r="D916" s="55"/>
      <c r="I916" s="75"/>
    </row>
    <row r="917" spans="4:9" ht="14.4" customHeight="1">
      <c r="D917" s="55"/>
      <c r="I917" s="75"/>
    </row>
    <row r="918" spans="4:9" ht="14.4" customHeight="1">
      <c r="D918" s="55"/>
      <c r="I918" s="75"/>
    </row>
    <row r="919" spans="4:9" ht="14.4" customHeight="1">
      <c r="D919" s="55"/>
      <c r="I919" s="75"/>
    </row>
    <row r="920" spans="4:9" ht="14.4" customHeight="1">
      <c r="D920" s="55"/>
      <c r="I920" s="75"/>
    </row>
    <row r="921" spans="4:9" ht="14.4" customHeight="1">
      <c r="D921" s="55"/>
      <c r="I921" s="75"/>
    </row>
    <row r="922" spans="4:9" ht="14.4" customHeight="1">
      <c r="D922" s="55"/>
      <c r="I922" s="75"/>
    </row>
    <row r="923" spans="4:9" ht="14.4" customHeight="1">
      <c r="D923" s="55"/>
      <c r="I923" s="75"/>
    </row>
    <row r="924" spans="4:9" ht="14.4" customHeight="1">
      <c r="D924" s="55"/>
      <c r="I924" s="75"/>
    </row>
    <row r="925" spans="4:9" ht="14.4" customHeight="1">
      <c r="D925" s="55"/>
      <c r="I925" s="75"/>
    </row>
    <row r="926" spans="4:9" ht="14.4" customHeight="1">
      <c r="D926" s="55"/>
      <c r="I926" s="75"/>
    </row>
    <row r="927" spans="4:9" ht="14.4" customHeight="1">
      <c r="D927" s="55"/>
      <c r="I927" s="75"/>
    </row>
    <row r="928" spans="4:9" ht="14.4" customHeight="1">
      <c r="D928" s="55"/>
      <c r="I928" s="75"/>
    </row>
    <row r="929" spans="4:9" ht="14.4" customHeight="1">
      <c r="D929" s="55"/>
      <c r="I929" s="75"/>
    </row>
    <row r="930" spans="4:9" ht="14.4" customHeight="1">
      <c r="D930" s="55"/>
      <c r="I930" s="75"/>
    </row>
    <row r="931" spans="4:9" ht="14.4" customHeight="1">
      <c r="D931" s="55"/>
      <c r="I931" s="75"/>
    </row>
    <row r="932" spans="4:9" ht="14.4" customHeight="1">
      <c r="D932" s="55"/>
      <c r="I932" s="75"/>
    </row>
    <row r="933" spans="4:9" ht="14.4" customHeight="1">
      <c r="D933" s="55"/>
      <c r="I933" s="75"/>
    </row>
    <row r="934" spans="4:9" ht="14.4" customHeight="1">
      <c r="D934" s="55"/>
      <c r="I934" s="75"/>
    </row>
    <row r="935" spans="4:9" ht="14.4" customHeight="1">
      <c r="D935" s="55"/>
      <c r="I935" s="75"/>
    </row>
    <row r="936" spans="4:9" ht="14.4" customHeight="1">
      <c r="D936" s="55"/>
      <c r="I936" s="75"/>
    </row>
    <row r="937" spans="4:9" ht="14.4" customHeight="1">
      <c r="D937" s="55"/>
      <c r="I937" s="75"/>
    </row>
    <row r="938" spans="4:9" ht="14.4" customHeight="1">
      <c r="D938" s="55"/>
      <c r="I938" s="75"/>
    </row>
    <row r="939" spans="4:9" ht="14.4" customHeight="1">
      <c r="D939" s="55"/>
      <c r="I939" s="75"/>
    </row>
    <row r="940" spans="4:9" ht="14.4" customHeight="1">
      <c r="D940" s="55"/>
      <c r="I940" s="75"/>
    </row>
    <row r="941" spans="4:9" ht="14.4" customHeight="1">
      <c r="D941" s="55"/>
      <c r="I941" s="75"/>
    </row>
    <row r="942" spans="4:9" ht="14.4" customHeight="1">
      <c r="D942" s="55"/>
      <c r="I942" s="75"/>
    </row>
    <row r="943" spans="4:9" ht="14.4" customHeight="1">
      <c r="D943" s="55"/>
      <c r="I943" s="75"/>
    </row>
    <row r="944" spans="4:9" ht="14.4" customHeight="1">
      <c r="D944" s="55"/>
      <c r="I944" s="75"/>
    </row>
    <row r="945" spans="4:9" ht="14.4" customHeight="1">
      <c r="D945" s="55"/>
      <c r="I945" s="75"/>
    </row>
    <row r="946" spans="4:9" ht="14.4" customHeight="1">
      <c r="D946" s="55"/>
      <c r="I946" s="75"/>
    </row>
    <row r="947" spans="4:9" ht="14.4" customHeight="1">
      <c r="D947" s="55"/>
      <c r="I947" s="75"/>
    </row>
    <row r="948" spans="4:9" ht="14.4" customHeight="1">
      <c r="D948" s="55"/>
      <c r="I948" s="75"/>
    </row>
    <row r="949" spans="4:9" ht="14.4" customHeight="1">
      <c r="D949" s="55"/>
      <c r="I949" s="75"/>
    </row>
    <row r="950" spans="4:9" ht="14.4" customHeight="1">
      <c r="D950" s="55"/>
      <c r="I950" s="75"/>
    </row>
    <row r="951" spans="4:9" ht="14.4" customHeight="1">
      <c r="D951" s="55"/>
      <c r="I951" s="75"/>
    </row>
    <row r="952" spans="4:9" ht="14.4" customHeight="1">
      <c r="D952" s="55"/>
      <c r="I952" s="75"/>
    </row>
    <row r="953" spans="4:9" ht="14.4" customHeight="1">
      <c r="D953" s="55"/>
      <c r="I953" s="75"/>
    </row>
    <row r="954" spans="4:9" ht="14.4" customHeight="1">
      <c r="D954" s="55"/>
      <c r="I954" s="75"/>
    </row>
    <row r="955" spans="4:9" ht="14.4" customHeight="1">
      <c r="D955" s="55"/>
      <c r="I955" s="75"/>
    </row>
    <row r="956" spans="4:9" ht="14.4" customHeight="1">
      <c r="D956" s="55"/>
      <c r="I956" s="75"/>
    </row>
    <row r="957" spans="4:9" ht="14.4" customHeight="1">
      <c r="D957" s="55"/>
      <c r="I957" s="75"/>
    </row>
    <row r="958" spans="4:9" ht="14.4" customHeight="1">
      <c r="D958" s="55"/>
      <c r="I958" s="75"/>
    </row>
    <row r="959" spans="4:9" ht="14.4" customHeight="1">
      <c r="D959" s="55"/>
      <c r="I959" s="75"/>
    </row>
    <row r="960" spans="4:9" ht="14.4" customHeight="1">
      <c r="D960" s="55"/>
      <c r="I960" s="75"/>
    </row>
    <row r="961" spans="4:9" ht="14.4" customHeight="1">
      <c r="D961" s="55"/>
      <c r="I961" s="75"/>
    </row>
    <row r="962" spans="4:9" ht="14.4" customHeight="1">
      <c r="D962" s="55"/>
      <c r="I962" s="75"/>
    </row>
    <row r="963" spans="4:9" ht="14.4" customHeight="1">
      <c r="D963" s="55"/>
      <c r="I963" s="75"/>
    </row>
    <row r="964" spans="4:9" ht="14.4" customHeight="1">
      <c r="D964" s="55"/>
      <c r="I964" s="75"/>
    </row>
    <row r="965" spans="4:9" ht="14.4" customHeight="1">
      <c r="D965" s="55"/>
      <c r="I965" s="75"/>
    </row>
    <row r="966" spans="4:9" ht="14.4" customHeight="1">
      <c r="D966" s="55"/>
      <c r="I966" s="75"/>
    </row>
    <row r="967" spans="4:9" ht="14.4" customHeight="1">
      <c r="D967" s="55"/>
      <c r="I967" s="75"/>
    </row>
    <row r="968" spans="4:9" ht="14.4" customHeight="1">
      <c r="D968" s="55"/>
      <c r="I968" s="75"/>
    </row>
    <row r="969" spans="4:9" ht="14.4" customHeight="1">
      <c r="D969" s="55"/>
      <c r="I969" s="75"/>
    </row>
    <row r="970" spans="4:9" ht="14.4" customHeight="1">
      <c r="D970" s="55"/>
      <c r="I970" s="75"/>
    </row>
    <row r="971" spans="4:9" ht="14.4" customHeight="1">
      <c r="D971" s="55"/>
      <c r="I971" s="75"/>
    </row>
    <row r="972" spans="4:9" ht="14.4" customHeight="1">
      <c r="D972" s="55"/>
      <c r="I972" s="75"/>
    </row>
    <row r="973" spans="4:9" ht="14.4" customHeight="1">
      <c r="D973" s="55"/>
      <c r="I973" s="75"/>
    </row>
    <row r="974" spans="4:9" ht="14.4" customHeight="1">
      <c r="D974" s="55"/>
      <c r="I974" s="75"/>
    </row>
    <row r="975" spans="4:9" ht="14.4" customHeight="1">
      <c r="D975" s="55"/>
      <c r="I975" s="75"/>
    </row>
    <row r="976" spans="4:9" ht="14.4" customHeight="1">
      <c r="D976" s="55"/>
      <c r="I976" s="75"/>
    </row>
    <row r="977" spans="4:9" ht="14.4" customHeight="1">
      <c r="D977" s="55"/>
      <c r="I977" s="75"/>
    </row>
    <row r="978" spans="4:9" ht="14.4" customHeight="1">
      <c r="D978" s="55"/>
      <c r="I978" s="75"/>
    </row>
    <row r="979" spans="4:9" ht="14.4" customHeight="1">
      <c r="D979" s="55"/>
      <c r="I979" s="75"/>
    </row>
    <row r="980" spans="4:9" ht="14.4" customHeight="1">
      <c r="D980" s="55"/>
      <c r="I980" s="75"/>
    </row>
    <row r="981" spans="4:9" ht="14.4" customHeight="1">
      <c r="D981" s="55"/>
      <c r="I981" s="75"/>
    </row>
    <row r="982" spans="4:9" ht="14.4" customHeight="1">
      <c r="D982" s="55"/>
      <c r="I982" s="75"/>
    </row>
    <row r="983" spans="4:9" ht="14.4" customHeight="1">
      <c r="D983" s="55"/>
      <c r="I983" s="75"/>
    </row>
    <row r="984" spans="4:9" ht="14.4" customHeight="1">
      <c r="D984" s="55"/>
      <c r="I984" s="75"/>
    </row>
    <row r="985" spans="4:9" ht="14.4" customHeight="1">
      <c r="D985" s="55"/>
      <c r="I985" s="75"/>
    </row>
    <row r="986" spans="4:9" ht="14.4" customHeight="1">
      <c r="D986" s="55"/>
      <c r="I986" s="75"/>
    </row>
    <row r="987" spans="4:9" ht="14.4" customHeight="1">
      <c r="D987" s="55"/>
      <c r="I987" s="75"/>
    </row>
    <row r="988" spans="4:9" ht="14.4" customHeight="1">
      <c r="D988" s="55"/>
      <c r="I988" s="75"/>
    </row>
    <row r="989" spans="4:9" ht="14.4" customHeight="1">
      <c r="D989" s="55"/>
      <c r="I989" s="75"/>
    </row>
    <row r="990" spans="4:9" ht="14.4" customHeight="1">
      <c r="D990" s="55"/>
      <c r="I990" s="75"/>
    </row>
    <row r="991" spans="4:9" ht="14.4" customHeight="1">
      <c r="D991" s="55"/>
      <c r="I991" s="75"/>
    </row>
    <row r="992" spans="4:9" ht="14.4" customHeight="1">
      <c r="D992" s="55"/>
      <c r="I992" s="75"/>
    </row>
    <row r="993" spans="4:9" ht="14.4" customHeight="1">
      <c r="D993" s="55"/>
      <c r="I993" s="75"/>
    </row>
    <row r="994" spans="4:9" ht="14.4" customHeight="1">
      <c r="D994" s="55"/>
      <c r="I994" s="75"/>
    </row>
    <row r="995" spans="4:9" ht="14.4" customHeight="1">
      <c r="D995" s="55"/>
      <c r="I995" s="75"/>
    </row>
    <row r="996" spans="4:9" ht="14.4" customHeight="1">
      <c r="D996" s="55"/>
      <c r="I996" s="75"/>
    </row>
    <row r="997" spans="4:9" ht="14.4" customHeight="1">
      <c r="D997" s="55"/>
      <c r="I997" s="75"/>
    </row>
    <row r="998" spans="4:9" ht="14.4" customHeight="1">
      <c r="D998" s="55"/>
      <c r="I998" s="75"/>
    </row>
    <row r="999" spans="4:9" ht="14.4" customHeight="1">
      <c r="D999" s="55"/>
      <c r="I999" s="75"/>
    </row>
    <row r="1000" spans="4:9" ht="14.4" customHeight="1">
      <c r="D1000" s="55"/>
      <c r="I1000" s="75"/>
    </row>
    <row r="1001" spans="4:9" ht="14.4" customHeight="1">
      <c r="D1001" s="55"/>
      <c r="I1001" s="75"/>
    </row>
    <row r="1002" spans="4:9" ht="14.4" customHeight="1">
      <c r="D1002" s="55"/>
      <c r="I1002" s="75"/>
    </row>
    <row r="1003" spans="4:9" ht="14.4" customHeight="1">
      <c r="D1003" s="55"/>
      <c r="I1003" s="75"/>
    </row>
    <row r="1004" spans="4:9" ht="14.4" customHeight="1">
      <c r="D1004" s="55"/>
      <c r="I1004" s="75"/>
    </row>
    <row r="1005" spans="4:9" ht="14.4" customHeight="1">
      <c r="D1005" s="55"/>
      <c r="I1005" s="75"/>
    </row>
    <row r="1006" spans="4:9" ht="14.4" customHeight="1">
      <c r="D1006" s="55"/>
      <c r="I1006" s="75"/>
    </row>
    <row r="1007" spans="4:9" ht="14.4" customHeight="1">
      <c r="D1007" s="55"/>
      <c r="I1007" s="75"/>
    </row>
    <row r="1008" spans="4:9" ht="14.4" customHeight="1">
      <c r="D1008" s="55"/>
      <c r="I1008" s="75"/>
    </row>
    <row r="1009" spans="4:9" ht="14.4" customHeight="1">
      <c r="D1009" s="55"/>
      <c r="I1009" s="75"/>
    </row>
    <row r="1010" spans="4:9" ht="14.4" customHeight="1">
      <c r="D1010" s="55"/>
      <c r="I1010" s="75"/>
    </row>
    <row r="1011" spans="4:9" ht="14.4" customHeight="1">
      <c r="D1011" s="55"/>
      <c r="I1011" s="75"/>
    </row>
    <row r="1012" spans="4:9" ht="14.4" customHeight="1">
      <c r="D1012" s="55"/>
      <c r="I1012" s="75"/>
    </row>
    <row r="1013" spans="4:9" ht="14.4" customHeight="1">
      <c r="D1013" s="55"/>
      <c r="I1013" s="75"/>
    </row>
    <row r="1014" spans="4:9" ht="14.4" customHeight="1">
      <c r="D1014" s="55"/>
      <c r="I1014" s="75"/>
    </row>
    <row r="1015" spans="4:9" ht="14.4" customHeight="1">
      <c r="D1015" s="55"/>
      <c r="I1015" s="75"/>
    </row>
    <row r="1016" spans="4:9" ht="14.4" customHeight="1">
      <c r="D1016" s="55"/>
      <c r="I1016" s="75"/>
    </row>
    <row r="1017" spans="4:9" ht="14.4" customHeight="1">
      <c r="D1017" s="55"/>
      <c r="I1017" s="75"/>
    </row>
    <row r="1018" spans="4:9" ht="14.4" customHeight="1">
      <c r="D1018" s="55"/>
      <c r="I1018" s="75"/>
    </row>
    <row r="1019" spans="4:9" ht="14.4" customHeight="1">
      <c r="D1019" s="55"/>
      <c r="I1019" s="75"/>
    </row>
    <row r="1020" spans="4:9" ht="14.4" customHeight="1">
      <c r="D1020" s="55"/>
      <c r="I1020" s="75"/>
    </row>
    <row r="1021" spans="4:9" ht="14.4" customHeight="1">
      <c r="D1021" s="55"/>
      <c r="I1021" s="75"/>
    </row>
    <row r="1022" spans="4:9" ht="14.4" customHeight="1">
      <c r="D1022" s="55"/>
      <c r="I1022" s="75"/>
    </row>
    <row r="1023" spans="4:9" ht="14.4" customHeight="1">
      <c r="D1023" s="55"/>
      <c r="I1023" s="75"/>
    </row>
    <row r="1024" spans="4:9" ht="14.4" customHeight="1">
      <c r="D1024" s="55"/>
      <c r="I1024" s="75"/>
    </row>
    <row r="1025" spans="4:9" ht="14.4" customHeight="1">
      <c r="D1025" s="55"/>
      <c r="I1025" s="75"/>
    </row>
    <row r="1026" spans="4:9" ht="14.4" customHeight="1">
      <c r="D1026" s="55"/>
      <c r="I1026" s="75"/>
    </row>
    <row r="1027" spans="4:9" ht="14.4" customHeight="1">
      <c r="D1027" s="55"/>
      <c r="I1027" s="75"/>
    </row>
    <row r="1028" spans="4:9" ht="14.4" customHeight="1">
      <c r="D1028" s="55"/>
      <c r="I1028" s="75"/>
    </row>
    <row r="1029" spans="4:9" ht="14.4" customHeight="1">
      <c r="D1029" s="55"/>
      <c r="I1029" s="75"/>
    </row>
    <row r="1030" spans="4:9" ht="14.4" customHeight="1">
      <c r="D1030" s="55"/>
      <c r="I1030" s="75"/>
    </row>
    <row r="1031" spans="4:9" ht="14.4" customHeight="1">
      <c r="D1031" s="55"/>
      <c r="I1031" s="75"/>
    </row>
    <row r="1032" spans="4:9" ht="14.4" customHeight="1">
      <c r="D1032" s="55"/>
      <c r="I1032" s="75"/>
    </row>
    <row r="1033" spans="4:9" ht="14.4" customHeight="1">
      <c r="D1033" s="55"/>
      <c r="I1033" s="75"/>
    </row>
    <row r="1034" spans="4:9" ht="14.4" customHeight="1">
      <c r="D1034" s="55"/>
      <c r="I1034" s="75"/>
    </row>
    <row r="1035" spans="4:9" ht="14.4" customHeight="1">
      <c r="D1035" s="55"/>
      <c r="I1035" s="75"/>
    </row>
    <row r="1036" spans="4:9" ht="14.4" customHeight="1">
      <c r="D1036" s="55"/>
      <c r="I1036" s="75"/>
    </row>
    <row r="1037" spans="4:9" ht="14.4" customHeight="1">
      <c r="D1037" s="55"/>
      <c r="I1037" s="75"/>
    </row>
    <row r="1038" spans="4:9" ht="14.4" customHeight="1">
      <c r="D1038" s="55"/>
      <c r="I1038" s="75"/>
    </row>
    <row r="1039" spans="4:9" ht="14.4" customHeight="1">
      <c r="D1039" s="55"/>
      <c r="I1039" s="75"/>
    </row>
    <row r="1040" spans="4:9" ht="14.4" customHeight="1">
      <c r="D1040" s="55"/>
      <c r="I1040" s="75"/>
    </row>
    <row r="1041" spans="4:9" ht="14.4" customHeight="1">
      <c r="D1041" s="55"/>
      <c r="I1041" s="75"/>
    </row>
    <row r="1042" spans="4:9" ht="14.4" customHeight="1">
      <c r="D1042" s="55"/>
      <c r="I1042" s="75"/>
    </row>
    <row r="1043" spans="4:9" ht="14.4" customHeight="1">
      <c r="D1043" s="55"/>
      <c r="I1043" s="75"/>
    </row>
    <row r="1044" spans="4:9" ht="14.4" customHeight="1">
      <c r="D1044" s="55"/>
      <c r="I1044" s="75"/>
    </row>
    <row r="1045" spans="4:9" ht="14.4" customHeight="1">
      <c r="D1045" s="55"/>
      <c r="I1045" s="75"/>
    </row>
    <row r="1046" spans="4:9" ht="14.4" customHeight="1">
      <c r="D1046" s="55"/>
      <c r="I1046" s="75"/>
    </row>
    <row r="1047" spans="4:9" ht="14.4" customHeight="1">
      <c r="D1047" s="55"/>
      <c r="I1047" s="75"/>
    </row>
    <row r="1048" spans="4:9" ht="14.4" customHeight="1">
      <c r="D1048" s="55"/>
      <c r="I1048" s="75"/>
    </row>
    <row r="1049" spans="4:9" ht="14.4" customHeight="1">
      <c r="D1049" s="55"/>
      <c r="I1049" s="75"/>
    </row>
    <row r="1050" spans="4:9" ht="14.4" customHeight="1">
      <c r="D1050" s="55"/>
      <c r="I1050" s="75"/>
    </row>
    <row r="1051" spans="4:9" ht="14.4" customHeight="1">
      <c r="D1051" s="55"/>
      <c r="I1051" s="75"/>
    </row>
    <row r="1052" spans="4:9" ht="14.4" customHeight="1">
      <c r="D1052" s="55"/>
      <c r="I1052" s="75"/>
    </row>
    <row r="1053" spans="4:9" ht="14.4" customHeight="1">
      <c r="D1053" s="55"/>
      <c r="I1053" s="75"/>
    </row>
    <row r="1054" spans="4:9" ht="14.4" customHeight="1">
      <c r="D1054" s="55"/>
      <c r="I1054" s="75"/>
    </row>
    <row r="1055" spans="4:9" ht="14.4" customHeight="1">
      <c r="D1055" s="55"/>
      <c r="I1055" s="75"/>
    </row>
    <row r="1056" spans="4:9" ht="14.4" customHeight="1">
      <c r="D1056" s="55"/>
      <c r="I1056" s="75"/>
    </row>
    <row r="1057" spans="4:9" ht="14.4" customHeight="1">
      <c r="D1057" s="55"/>
      <c r="I1057" s="75"/>
    </row>
    <row r="1058" spans="4:9" ht="14.4" customHeight="1">
      <c r="D1058" s="55"/>
      <c r="I1058" s="75"/>
    </row>
    <row r="1059" spans="4:9" ht="14.4" customHeight="1">
      <c r="D1059" s="55"/>
      <c r="I1059" s="75"/>
    </row>
    <row r="1060" spans="4:9" ht="14.4" customHeight="1">
      <c r="D1060" s="55"/>
      <c r="I1060" s="75"/>
    </row>
    <row r="1061" spans="4:9" ht="14.4" customHeight="1">
      <c r="D1061" s="55"/>
      <c r="I1061" s="75"/>
    </row>
    <row r="1062" spans="4:9" ht="14.4" customHeight="1">
      <c r="D1062" s="55"/>
      <c r="I1062" s="75"/>
    </row>
    <row r="1063" spans="4:9" ht="14.4" customHeight="1">
      <c r="D1063" s="55"/>
      <c r="I1063" s="75"/>
    </row>
    <row r="1064" spans="4:9" ht="14.4" customHeight="1">
      <c r="D1064" s="55"/>
      <c r="I1064" s="75"/>
    </row>
    <row r="1065" spans="4:9" ht="14.4" customHeight="1">
      <c r="D1065" s="55"/>
      <c r="I1065" s="75"/>
    </row>
    <row r="1066" spans="4:9" ht="14.4" customHeight="1">
      <c r="D1066" s="55"/>
      <c r="I1066" s="75"/>
    </row>
    <row r="1067" spans="4:9" ht="14.4" customHeight="1">
      <c r="D1067" s="55"/>
      <c r="I1067" s="75"/>
    </row>
    <row r="1068" spans="4:9" ht="14.4" customHeight="1">
      <c r="D1068" s="55"/>
      <c r="I1068" s="75"/>
    </row>
    <row r="1069" spans="4:9" ht="14.4" customHeight="1">
      <c r="D1069" s="55"/>
      <c r="I1069" s="75"/>
    </row>
    <row r="1070" spans="4:9" ht="14.4" customHeight="1">
      <c r="D1070" s="55"/>
      <c r="I1070" s="75"/>
    </row>
    <row r="1071" spans="4:9" ht="14.4" customHeight="1">
      <c r="D1071" s="55"/>
      <c r="I1071" s="75"/>
    </row>
    <row r="1072" spans="4:9" ht="14.4" customHeight="1">
      <c r="D1072" s="55"/>
      <c r="I1072" s="75"/>
    </row>
    <row r="1073" spans="4:9" ht="14.4" customHeight="1">
      <c r="D1073" s="55"/>
      <c r="I1073" s="75"/>
    </row>
    <row r="1074" spans="4:9" ht="14.4" customHeight="1">
      <c r="D1074" s="55"/>
      <c r="I1074" s="75"/>
    </row>
    <row r="1075" spans="4:9" ht="14.4" customHeight="1">
      <c r="D1075" s="55"/>
      <c r="I1075" s="75"/>
    </row>
    <row r="1076" spans="4:9" ht="14.4" customHeight="1">
      <c r="D1076" s="55"/>
      <c r="I1076" s="75"/>
    </row>
    <row r="1077" spans="4:9" ht="14.4" customHeight="1">
      <c r="D1077" s="55"/>
      <c r="I1077" s="75"/>
    </row>
    <row r="1078" spans="4:9" ht="14.4" customHeight="1">
      <c r="D1078" s="55"/>
      <c r="I1078" s="75"/>
    </row>
    <row r="1079" spans="4:9" ht="14.4" customHeight="1">
      <c r="D1079" s="55"/>
      <c r="I1079" s="75"/>
    </row>
    <row r="1080" spans="4:9" ht="14.4" customHeight="1">
      <c r="D1080" s="55"/>
      <c r="I1080" s="75"/>
    </row>
    <row r="1081" spans="4:9" ht="14.4" customHeight="1">
      <c r="D1081" s="55"/>
      <c r="I1081" s="75"/>
    </row>
    <row r="1082" spans="4:9" ht="14.4" customHeight="1">
      <c r="D1082" s="55"/>
      <c r="I1082" s="75"/>
    </row>
    <row r="1083" spans="4:9" ht="14.4" customHeight="1">
      <c r="D1083" s="55"/>
      <c r="I1083" s="75"/>
    </row>
    <row r="1084" spans="4:9" ht="14.4" customHeight="1">
      <c r="D1084" s="55"/>
      <c r="I1084" s="75"/>
    </row>
    <row r="1085" spans="4:9" ht="14.4" customHeight="1">
      <c r="D1085" s="55"/>
      <c r="I1085" s="75"/>
    </row>
    <row r="1086" spans="4:9" ht="14.4" customHeight="1">
      <c r="D1086" s="55"/>
      <c r="I1086" s="75"/>
    </row>
    <row r="1087" spans="4:9" ht="14.4" customHeight="1">
      <c r="D1087" s="55"/>
      <c r="I1087" s="75"/>
    </row>
    <row r="1088" spans="4:9" ht="14.4" customHeight="1">
      <c r="D1088" s="55"/>
      <c r="I1088" s="75"/>
    </row>
    <row r="1089" spans="4:9" ht="14.4" customHeight="1">
      <c r="D1089" s="55"/>
      <c r="I1089" s="75"/>
    </row>
    <row r="1090" spans="4:9" ht="14.4" customHeight="1">
      <c r="D1090" s="55"/>
      <c r="I1090" s="75"/>
    </row>
    <row r="1091" spans="4:9" ht="14.4" customHeight="1">
      <c r="D1091" s="55"/>
      <c r="I1091" s="75"/>
    </row>
    <row r="1092" spans="4:9" ht="14.4" customHeight="1">
      <c r="D1092" s="55"/>
      <c r="I1092" s="75"/>
    </row>
    <row r="1093" spans="4:9" ht="14.4" customHeight="1">
      <c r="D1093" s="55"/>
      <c r="I1093" s="75"/>
    </row>
    <row r="1094" spans="4:9" ht="14.4" customHeight="1">
      <c r="D1094" s="55"/>
      <c r="I1094" s="75"/>
    </row>
    <row r="1095" spans="4:9" ht="14.4" customHeight="1">
      <c r="D1095" s="55"/>
      <c r="I1095" s="75"/>
    </row>
    <row r="1096" spans="4:9" ht="14.4" customHeight="1">
      <c r="D1096" s="55"/>
      <c r="I1096" s="75"/>
    </row>
    <row r="1097" spans="4:9" ht="14.4" customHeight="1">
      <c r="D1097" s="55"/>
      <c r="I1097" s="75"/>
    </row>
    <row r="1098" spans="4:9" ht="14.4" customHeight="1">
      <c r="D1098" s="55"/>
      <c r="I1098" s="75"/>
    </row>
    <row r="1099" spans="4:9" ht="14.4" customHeight="1">
      <c r="D1099" s="55"/>
      <c r="I1099" s="75"/>
    </row>
    <row r="1100" spans="4:9" ht="14.4" customHeight="1">
      <c r="D1100" s="55"/>
      <c r="I1100" s="75"/>
    </row>
    <row r="1101" spans="4:9" ht="14.4" customHeight="1">
      <c r="D1101" s="55"/>
      <c r="I1101" s="75"/>
    </row>
    <row r="1102" spans="4:9" ht="14.4" customHeight="1">
      <c r="D1102" s="55"/>
      <c r="I1102" s="75"/>
    </row>
    <row r="1103" spans="4:9" ht="14.4" customHeight="1">
      <c r="D1103" s="55"/>
      <c r="I1103" s="75"/>
    </row>
    <row r="1104" spans="4:9" ht="14.4" customHeight="1">
      <c r="D1104" s="55"/>
      <c r="I1104" s="75"/>
    </row>
    <row r="1105" spans="4:9" ht="14.4" customHeight="1">
      <c r="D1105" s="55"/>
      <c r="I1105" s="75"/>
    </row>
    <row r="1106" spans="4:9" ht="14.4" customHeight="1">
      <c r="D1106" s="55"/>
      <c r="I1106" s="75"/>
    </row>
    <row r="1107" spans="4:9" ht="14.4" customHeight="1">
      <c r="D1107" s="55"/>
      <c r="I1107" s="75"/>
    </row>
    <row r="1108" spans="4:9" ht="14.4" customHeight="1">
      <c r="D1108" s="55"/>
      <c r="I1108" s="75"/>
    </row>
    <row r="1109" spans="4:9" ht="14.4" customHeight="1">
      <c r="D1109" s="55"/>
      <c r="I1109" s="75"/>
    </row>
    <row r="1110" spans="4:9" ht="14.4" customHeight="1">
      <c r="D1110" s="55"/>
      <c r="I1110" s="75"/>
    </row>
    <row r="1111" spans="4:9" ht="14.4" customHeight="1">
      <c r="D1111" s="55"/>
      <c r="I1111" s="75"/>
    </row>
    <row r="1112" spans="4:9" ht="14.4" customHeight="1">
      <c r="D1112" s="55"/>
      <c r="I1112" s="75"/>
    </row>
    <row r="1113" spans="4:9" ht="14.4" customHeight="1">
      <c r="D1113" s="55"/>
      <c r="I1113" s="75"/>
    </row>
    <row r="1114" spans="4:9" ht="14.4" customHeight="1">
      <c r="D1114" s="55"/>
      <c r="I1114" s="75"/>
    </row>
    <row r="1115" spans="4:9" ht="14.4" customHeight="1">
      <c r="D1115" s="55"/>
      <c r="I1115" s="75"/>
    </row>
    <row r="1116" spans="4:9" ht="14.4" customHeight="1">
      <c r="D1116" s="55"/>
      <c r="I1116" s="75"/>
    </row>
    <row r="1117" spans="4:9" ht="14.4" customHeight="1">
      <c r="D1117" s="55"/>
      <c r="I1117" s="75"/>
    </row>
    <row r="1118" spans="4:9" ht="14.4" customHeight="1">
      <c r="D1118" s="55"/>
      <c r="I1118" s="75"/>
    </row>
    <row r="1119" spans="4:9" ht="14.4" customHeight="1">
      <c r="D1119" s="55"/>
      <c r="I1119" s="75"/>
    </row>
    <row r="1120" spans="4:9" ht="14.4" customHeight="1">
      <c r="D1120" s="55"/>
      <c r="I1120" s="75"/>
    </row>
    <row r="1121" spans="4:9" ht="14.4" customHeight="1">
      <c r="D1121" s="55"/>
      <c r="I1121" s="75"/>
    </row>
    <row r="1122" spans="4:9" ht="14.4" customHeight="1">
      <c r="D1122" s="55"/>
      <c r="I1122" s="75"/>
    </row>
    <row r="1123" spans="4:9" ht="14.4" customHeight="1">
      <c r="D1123" s="55"/>
      <c r="I1123" s="75"/>
    </row>
    <row r="1124" spans="4:9" ht="14.4" customHeight="1">
      <c r="D1124" s="55"/>
      <c r="I1124" s="75"/>
    </row>
    <row r="1125" spans="4:9" ht="14.4" customHeight="1">
      <c r="D1125" s="55"/>
      <c r="I1125" s="75"/>
    </row>
    <row r="1126" spans="4:9" ht="14.4" customHeight="1">
      <c r="D1126" s="55"/>
      <c r="I1126" s="75"/>
    </row>
    <row r="1127" spans="4:9" ht="14.4" customHeight="1">
      <c r="D1127" s="55"/>
      <c r="I1127" s="75"/>
    </row>
    <row r="1128" spans="4:9" ht="14.4" customHeight="1">
      <c r="D1128" s="55"/>
      <c r="I1128" s="75"/>
    </row>
    <row r="1129" spans="4:9" ht="14.4" customHeight="1">
      <c r="D1129" s="55"/>
      <c r="I1129" s="75"/>
    </row>
    <row r="1130" spans="4:9" ht="14.4" customHeight="1">
      <c r="D1130" s="55"/>
      <c r="I1130" s="75"/>
    </row>
    <row r="1131" spans="4:9" ht="14.4" customHeight="1">
      <c r="D1131" s="55"/>
      <c r="I1131" s="75"/>
    </row>
    <row r="1132" spans="4:9" ht="14.4" customHeight="1">
      <c r="D1132" s="55"/>
      <c r="I1132" s="75"/>
    </row>
    <row r="1133" spans="4:9" ht="14.4" customHeight="1">
      <c r="D1133" s="55"/>
      <c r="I1133" s="75"/>
    </row>
    <row r="1134" spans="4:9" ht="14.4" customHeight="1">
      <c r="D1134" s="55"/>
      <c r="I1134" s="75"/>
    </row>
    <row r="1135" spans="4:9" ht="14.4" customHeight="1">
      <c r="D1135" s="55"/>
      <c r="I1135" s="75"/>
    </row>
    <row r="1136" spans="4:9" ht="14.4" customHeight="1">
      <c r="D1136" s="55"/>
      <c r="I1136" s="75"/>
    </row>
    <row r="1137" spans="4:9" ht="14.4" customHeight="1">
      <c r="D1137" s="55"/>
      <c r="I1137" s="75"/>
    </row>
    <row r="1138" spans="4:9" ht="14.4" customHeight="1">
      <c r="D1138" s="55"/>
      <c r="I1138" s="75"/>
    </row>
    <row r="1139" spans="4:9" ht="14.4" customHeight="1">
      <c r="D1139" s="55"/>
      <c r="I1139" s="75"/>
    </row>
    <row r="1140" spans="4:9" ht="14.4" customHeight="1">
      <c r="D1140" s="55"/>
      <c r="I1140" s="75"/>
    </row>
    <row r="1141" spans="4:9" ht="14.4" customHeight="1">
      <c r="D1141" s="55"/>
      <c r="I1141" s="75"/>
    </row>
    <row r="1142" spans="4:9" ht="14.4" customHeight="1">
      <c r="D1142" s="55"/>
      <c r="I1142" s="75"/>
    </row>
    <row r="1143" spans="4:9" ht="14.4" customHeight="1">
      <c r="D1143" s="55"/>
      <c r="I1143" s="75"/>
    </row>
    <row r="1144" spans="4:9" ht="14.4" customHeight="1">
      <c r="D1144" s="55"/>
      <c r="I1144" s="75"/>
    </row>
    <row r="1145" spans="4:9" ht="14.4" customHeight="1">
      <c r="D1145" s="55"/>
      <c r="I1145" s="75"/>
    </row>
    <row r="1146" spans="4:9" ht="14.4" customHeight="1">
      <c r="D1146" s="55"/>
      <c r="I1146" s="75"/>
    </row>
    <row r="1147" spans="4:9" ht="14.4" customHeight="1">
      <c r="D1147" s="55"/>
      <c r="I1147" s="75"/>
    </row>
    <row r="1148" spans="4:9" ht="14.4" customHeight="1">
      <c r="D1148" s="55"/>
      <c r="I1148" s="75"/>
    </row>
    <row r="1149" spans="4:9" ht="14.4" customHeight="1">
      <c r="D1149" s="55"/>
      <c r="I1149" s="75"/>
    </row>
    <row r="1150" spans="4:9" ht="14.4" customHeight="1">
      <c r="D1150" s="55"/>
      <c r="I1150" s="75"/>
    </row>
    <row r="1151" spans="4:9" ht="14.4" customHeight="1">
      <c r="D1151" s="55"/>
      <c r="I1151" s="75"/>
    </row>
    <row r="1152" spans="4:9" ht="14.4" customHeight="1">
      <c r="D1152" s="55"/>
      <c r="I1152" s="75"/>
    </row>
    <row r="1153" spans="4:9" ht="14.4" customHeight="1">
      <c r="D1153" s="55"/>
      <c r="I1153" s="75"/>
    </row>
    <row r="1154" spans="4:9" ht="14.4" customHeight="1">
      <c r="D1154" s="55"/>
      <c r="I1154" s="75"/>
    </row>
    <row r="1155" spans="4:9" ht="14.4" customHeight="1">
      <c r="D1155" s="55"/>
      <c r="I1155" s="75"/>
    </row>
    <row r="1156" spans="4:9" ht="14.4" customHeight="1">
      <c r="D1156" s="55"/>
      <c r="I1156" s="75"/>
    </row>
    <row r="1157" spans="4:9" ht="14.4" customHeight="1">
      <c r="D1157" s="55"/>
      <c r="I1157" s="75"/>
    </row>
    <row r="1158" spans="4:9" ht="14.4" customHeight="1">
      <c r="D1158" s="55"/>
      <c r="I1158" s="75"/>
    </row>
    <row r="1159" spans="4:9" ht="14.4" customHeight="1">
      <c r="D1159" s="55"/>
      <c r="I1159" s="75"/>
    </row>
    <row r="1160" spans="4:9" ht="14.4" customHeight="1">
      <c r="D1160" s="55"/>
      <c r="I1160" s="75"/>
    </row>
    <row r="1161" spans="4:9" ht="14.4" customHeight="1">
      <c r="D1161" s="55"/>
      <c r="I1161" s="75"/>
    </row>
    <row r="1162" spans="4:9" ht="14.4" customHeight="1">
      <c r="D1162" s="55"/>
      <c r="I1162" s="75"/>
    </row>
    <row r="1163" spans="4:9" ht="14.4" customHeight="1">
      <c r="D1163" s="55"/>
      <c r="I1163" s="75"/>
    </row>
    <row r="1164" spans="4:9" ht="14.4" customHeight="1">
      <c r="D1164" s="55"/>
      <c r="I1164" s="75"/>
    </row>
    <row r="1165" spans="4:9" ht="14.4" customHeight="1">
      <c r="D1165" s="55"/>
      <c r="I1165" s="75"/>
    </row>
    <row r="1166" spans="4:9" ht="14.4" customHeight="1">
      <c r="D1166" s="55"/>
      <c r="I1166" s="75"/>
    </row>
    <row r="1167" spans="4:9" ht="14.4" customHeight="1">
      <c r="D1167" s="55"/>
      <c r="I1167" s="75"/>
    </row>
    <row r="1168" spans="4:9" ht="14.4" customHeight="1">
      <c r="D1168" s="55"/>
      <c r="I1168" s="75"/>
    </row>
    <row r="1169" spans="4:9" ht="14.4" customHeight="1">
      <c r="D1169" s="55"/>
      <c r="I1169" s="75"/>
    </row>
    <row r="1170" spans="4:9" ht="14.4" customHeight="1">
      <c r="D1170" s="55"/>
      <c r="I1170" s="75"/>
    </row>
    <row r="1171" spans="4:9" ht="14.4" customHeight="1">
      <c r="D1171" s="55"/>
      <c r="I1171" s="75"/>
    </row>
    <row r="1172" spans="4:9" ht="14.4" customHeight="1">
      <c r="D1172" s="55"/>
      <c r="I1172" s="75"/>
    </row>
    <row r="1173" spans="4:9" ht="14.4" customHeight="1">
      <c r="D1173" s="55"/>
      <c r="I1173" s="75"/>
    </row>
    <row r="1174" spans="4:9" ht="14.4" customHeight="1">
      <c r="D1174" s="55"/>
      <c r="I1174" s="75"/>
    </row>
    <row r="1175" spans="4:9" ht="14.4" customHeight="1">
      <c r="D1175" s="55"/>
      <c r="I1175" s="75"/>
    </row>
    <row r="1176" spans="4:9" ht="14.4" customHeight="1">
      <c r="D1176" s="55"/>
      <c r="I1176" s="75"/>
    </row>
    <row r="1177" spans="4:9" ht="14.4" customHeight="1">
      <c r="D1177" s="55"/>
      <c r="I1177" s="75"/>
    </row>
    <row r="1178" spans="4:9" ht="14.4" customHeight="1">
      <c r="D1178" s="55"/>
      <c r="I1178" s="75"/>
    </row>
    <row r="1179" spans="4:9" ht="14.4" customHeight="1">
      <c r="D1179" s="55"/>
      <c r="I1179" s="75"/>
    </row>
    <row r="1180" spans="4:9" ht="14.4" customHeight="1">
      <c r="D1180" s="55"/>
      <c r="I1180" s="75"/>
    </row>
    <row r="1181" spans="4:9" ht="14.4" customHeight="1">
      <c r="D1181" s="55"/>
      <c r="I1181" s="75"/>
    </row>
    <row r="1182" spans="4:9" ht="14.4" customHeight="1">
      <c r="D1182" s="55"/>
      <c r="I1182" s="75"/>
    </row>
    <row r="1183" spans="4:9" ht="14.4" customHeight="1">
      <c r="D1183" s="55"/>
      <c r="I1183" s="75"/>
    </row>
    <row r="1184" spans="4:9" ht="14.4" customHeight="1">
      <c r="D1184" s="55"/>
      <c r="I1184" s="75"/>
    </row>
    <row r="1185" spans="4:9" ht="14.4" customHeight="1">
      <c r="D1185" s="55"/>
      <c r="I1185" s="75"/>
    </row>
    <row r="1186" spans="4:9" ht="14.4" customHeight="1">
      <c r="D1186" s="55"/>
      <c r="I1186" s="75"/>
    </row>
    <row r="1187" spans="4:9" ht="14.4" customHeight="1">
      <c r="D1187" s="55"/>
      <c r="I1187" s="75"/>
    </row>
    <row r="1188" spans="4:9" ht="14.4" customHeight="1">
      <c r="D1188" s="55"/>
      <c r="I1188" s="75"/>
    </row>
    <row r="1189" spans="4:9" ht="14.4" customHeight="1">
      <c r="D1189" s="55"/>
      <c r="I1189" s="75"/>
    </row>
    <row r="1190" spans="4:9" ht="14.4" customHeight="1">
      <c r="D1190" s="55"/>
      <c r="I1190" s="75"/>
    </row>
    <row r="1191" spans="4:9" ht="14.4" customHeight="1">
      <c r="D1191" s="55"/>
      <c r="I1191" s="75"/>
    </row>
    <row r="1192" spans="4:9" ht="14.4" customHeight="1">
      <c r="D1192" s="55"/>
      <c r="I1192" s="75"/>
    </row>
    <row r="1193" spans="4:9" ht="14.4" customHeight="1">
      <c r="D1193" s="55"/>
      <c r="I1193" s="75"/>
    </row>
    <row r="1194" spans="4:9" ht="14.4" customHeight="1">
      <c r="D1194" s="55"/>
      <c r="I1194" s="75"/>
    </row>
    <row r="1195" spans="4:9" ht="14.4" customHeight="1">
      <c r="D1195" s="55"/>
      <c r="I1195" s="75"/>
    </row>
    <row r="1196" spans="4:9" ht="14.4" customHeight="1">
      <c r="D1196" s="55"/>
      <c r="I1196" s="75"/>
    </row>
    <row r="1197" spans="4:9" ht="14.4" customHeight="1">
      <c r="D1197" s="55"/>
      <c r="I1197" s="75"/>
    </row>
    <row r="1198" spans="4:9" ht="14.4" customHeight="1">
      <c r="D1198" s="55"/>
      <c r="I1198" s="75"/>
    </row>
    <row r="1199" spans="4:9" ht="14.4" customHeight="1">
      <c r="D1199" s="55"/>
      <c r="I1199" s="75"/>
    </row>
    <row r="1200" spans="4:9" ht="14.4" customHeight="1"/>
    <row r="1201" ht="14.4" customHeight="1"/>
    <row r="1202" ht="14.4" customHeight="1"/>
    <row r="1203" ht="14.4" customHeight="1"/>
    <row r="1204" ht="14.4" customHeight="1"/>
    <row r="1205" ht="14.4" customHeight="1"/>
    <row r="1206" ht="14.4" customHeight="1"/>
    <row r="1207" ht="14.4" customHeight="1"/>
    <row r="1208" ht="14.4" customHeight="1"/>
    <row r="1209" ht="14.4" customHeight="1"/>
    <row r="1210" ht="14.4" customHeight="1"/>
    <row r="1211" ht="14.4" customHeight="1"/>
    <row r="1212" ht="14.4" customHeight="1"/>
    <row r="1213" ht="14.4" customHeight="1"/>
    <row r="1214" ht="14.4" customHeight="1"/>
    <row r="1215" ht="14.4" customHeight="1"/>
    <row r="1216" ht="14.4" customHeight="1"/>
    <row r="1217" ht="14.4" customHeight="1"/>
    <row r="1218" ht="14.4" customHeight="1"/>
    <row r="1219" ht="14.4" customHeight="1"/>
    <row r="1220" ht="14.4" customHeight="1"/>
    <row r="1221" ht="14.4" customHeight="1"/>
    <row r="1222" ht="14.4" customHeight="1"/>
    <row r="1223" ht="14.4" customHeight="1"/>
  </sheetData>
  <phoneticPr fontId="21" type="noConversion"/>
  <conditionalFormatting sqref="D1">
    <cfRule type="containsText" dxfId="7" priority="3" operator="containsText" text=" ">
      <formula>NOT(ISERROR(SEARCH(" ",D1)))</formula>
    </cfRule>
  </conditionalFormatting>
  <conditionalFormatting sqref="A4:B4">
    <cfRule type="containsText" dxfId="6" priority="2" operator="containsText" text=" ">
      <formula>NOT(ISERROR(SEARCH(" ",A4)))</formula>
    </cfRule>
  </conditionalFormatting>
  <conditionalFormatting sqref="A8:C8">
    <cfRule type="containsText" dxfId="5" priority="1" operator="containsText" text=" ">
      <formula>NOT(ISERROR(SEARCH(" ",A8)))</formula>
    </cfRule>
  </conditionalFormatting>
  <conditionalFormatting sqref="A5:C7 A4:B4 A1:C1">
    <cfRule type="containsText" dxfId="4" priority="4" operator="containsText" text=" ">
      <formula>NOT(ISERROR(SEARCH(" ",A1)))</formula>
    </cfRule>
  </conditionalFormatting>
  <dataValidations count="2">
    <dataValidation type="list" allowBlank="1" showInputMessage="1" showErrorMessage="1" sqref="B1 B4:B8">
      <formula1>"等于,包含,IN,大于等,小于等"</formula1>
    </dataValidation>
    <dataValidation type="list" allowBlank="1" showInputMessage="1" showErrorMessage="1" sqref="A1">
      <formula1>#REF!</formula1>
    </dataValidation>
  </dataValidations>
  <hyperlinks>
    <hyperlink ref="J4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Pict="0" macro="[0]!UploadExcel">
                <anchor moveWithCells="1">
                  <from>
                    <xdr:col>7</xdr:col>
                    <xdr:colOff>7620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Pict="0" macro="[0]!UpdateBySheet">
                <anchor moveWithCells="1">
                  <from>
                    <xdr:col>6</xdr:col>
                    <xdr:colOff>289560</xdr:colOff>
                    <xdr:row>0</xdr:row>
                    <xdr:rowOff>0</xdr:rowOff>
                  </from>
                  <to>
                    <xdr:col>6</xdr:col>
                    <xdr:colOff>998220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A4:A8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AA25"/>
  <sheetViews>
    <sheetView workbookViewId="0">
      <selection activeCell="B20" sqref="B20"/>
    </sheetView>
  </sheetViews>
  <sheetFormatPr defaultColWidth="9" defaultRowHeight="14.4"/>
  <cols>
    <col min="1" max="1" width="23.6640625" style="46" customWidth="1"/>
    <col min="2" max="2" width="15.6640625" style="47" customWidth="1"/>
    <col min="3" max="3" width="10.88671875" style="47" customWidth="1"/>
    <col min="4" max="4" width="9.88671875" style="47" customWidth="1"/>
    <col min="5" max="5" width="14.21875" style="47" customWidth="1"/>
    <col min="6" max="6" width="11.6640625" style="48" customWidth="1"/>
    <col min="7" max="7" width="10.109375" style="47" customWidth="1"/>
    <col min="8" max="8" width="11" style="47" customWidth="1"/>
    <col min="9" max="9" width="8.109375" style="49" customWidth="1"/>
    <col min="10" max="10" width="9.6640625" style="49" customWidth="1"/>
    <col min="11" max="16384" width="9" style="4"/>
  </cols>
  <sheetData>
    <row r="1" spans="1:27" s="35" customFormat="1" ht="30.6" customHeight="1">
      <c r="A1" s="98" t="s">
        <v>239</v>
      </c>
      <c r="B1" s="99" t="s">
        <v>240</v>
      </c>
      <c r="C1" s="98" t="s">
        <v>238</v>
      </c>
      <c r="D1" s="42"/>
    </row>
    <row r="2" spans="1:27" s="36" customFormat="1">
      <c r="A2" s="43" t="s">
        <v>35</v>
      </c>
      <c r="B2" s="93" t="str">
        <f ca="1">INDIRECT("sheet1!"&amp;"A11")</f>
        <v>预算代码</v>
      </c>
      <c r="C2" s="93" t="str">
        <f ca="1">INDIRECT("sheet1!"&amp;"B11")</f>
        <v>支出数</v>
      </c>
      <c r="D2" s="93" t="str">
        <f ca="1">INDIRECT("sheet1!"&amp;"C11")</f>
        <v>金额</v>
      </c>
      <c r="E2" s="93" t="str">
        <f ca="1">INDIRECT("sheet1!"&amp;"D11")</f>
        <v>使用情况</v>
      </c>
      <c r="F2" s="93" t="str">
        <f ca="1">INDIRECT("sheet1!"&amp;"E11")</f>
        <v>支出时间</v>
      </c>
      <c r="G2" s="93">
        <f ca="1">INDIRECT("sheet1!"&amp;"F11")</f>
        <v>0</v>
      </c>
      <c r="H2" s="93">
        <f ca="1">INDIRECT("sheet1!"&amp;"G11")</f>
        <v>0</v>
      </c>
      <c r="I2" s="93">
        <f ca="1">INDIRECT("sheet1!"&amp;"H11")</f>
        <v>0</v>
      </c>
      <c r="J2" s="93">
        <f ca="1">INDIRECT("sheet1!"&amp;"I11")</f>
        <v>0</v>
      </c>
      <c r="K2" s="93">
        <f ca="1">INDIRECT("sheet1!"&amp;"J11")</f>
        <v>0</v>
      </c>
      <c r="L2" s="93">
        <f ca="1">INDIRECT("sheet1!"&amp;"K11")</f>
        <v>0</v>
      </c>
      <c r="M2" s="93">
        <f ca="1">INDIRECT("sheet1!"&amp;"L11")</f>
        <v>0</v>
      </c>
      <c r="N2" s="93">
        <f ca="1">INDIRECT("sheet1!"&amp;"M11")</f>
        <v>0</v>
      </c>
      <c r="O2" s="93">
        <f ca="1">INDIRECT("sheet1!"&amp;"N11")</f>
        <v>0</v>
      </c>
      <c r="P2" s="93">
        <f ca="1">INDIRECT("sheet1!"&amp;"O11")</f>
        <v>0</v>
      </c>
      <c r="Q2" s="93">
        <f ca="1">INDIRECT("sheet1!"&amp;"P11")</f>
        <v>0</v>
      </c>
      <c r="R2" s="93">
        <f ca="1">INDIRECT("sheet1!"&amp;"Q11")</f>
        <v>0</v>
      </c>
      <c r="S2" s="93">
        <f ca="1">INDIRECT("sheet1!"&amp;"R11")</f>
        <v>0</v>
      </c>
      <c r="T2" s="93">
        <f ca="1">INDIRECT("sheet1!"&amp;"S11")</f>
        <v>0</v>
      </c>
      <c r="U2" s="93">
        <f ca="1">INDIRECT("sheet1!"&amp;"T11")</f>
        <v>0</v>
      </c>
      <c r="V2" s="93">
        <f ca="1">INDIRECT("sheet1!"&amp;"U11")</f>
        <v>0</v>
      </c>
      <c r="W2" s="93">
        <f ca="1">INDIRECT("sheet1!"&amp;"V11")</f>
        <v>0</v>
      </c>
      <c r="X2" s="93">
        <f ca="1">INDIRECT("sheet1!"&amp;"W11")</f>
        <v>0</v>
      </c>
      <c r="Y2" s="93">
        <f ca="1">INDIRECT("sheet1!"&amp;"X11")</f>
        <v>0</v>
      </c>
      <c r="Z2" s="93">
        <f ca="1">INDIRECT("sheet1!"&amp;"Y11")</f>
        <v>0</v>
      </c>
      <c r="AA2" s="93">
        <f ca="1">INDIRECT("sheet1!"&amp;"Z11")</f>
        <v>0</v>
      </c>
    </row>
    <row r="3" spans="1:27">
      <c r="A3" s="50" t="s">
        <v>37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</row>
    <row r="4" spans="1:27">
      <c r="A4" s="51" t="s">
        <v>38</v>
      </c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</row>
    <row r="5" spans="1:27">
      <c r="A5" s="50" t="s">
        <v>39</v>
      </c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</row>
    <row r="6" spans="1:27">
      <c r="A6" s="51" t="s">
        <v>40</v>
      </c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</row>
    <row r="7" spans="1:27">
      <c r="A7" s="50"/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</row>
    <row r="8" spans="1:27">
      <c r="A8" s="51"/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</row>
    <row r="9" spans="1:27">
      <c r="A9" s="50"/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</row>
    <row r="10" spans="1:27">
      <c r="A10" s="51"/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</row>
    <row r="11" spans="1:27">
      <c r="A11" s="50"/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</row>
    <row r="12" spans="1:27">
      <c r="A12" s="51"/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</row>
    <row r="13" spans="1:27">
      <c r="A13" s="50"/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</row>
    <row r="14" spans="1:27">
      <c r="A14" s="50"/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</row>
    <row r="15" spans="1:27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27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>
      <c r="A18" s="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>
      <c r="A19" s="4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>
      <c r="A20" s="4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>
      <c r="A21" s="4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>
      <c r="A22" s="4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>
      <c r="A23" s="4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>
      <c r="A24" s="4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>
      <c r="A25" s="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protectedRanges>
    <protectedRange sqref="B15:L25" name="区域1" securityDescriptor=""/>
    <protectedRange sqref="A2" name="区域1_1" securityDescriptor=""/>
    <protectedRange sqref="B3:R14" name="区域1_2" securityDescriptor=""/>
  </protectedRanges>
  <phoneticPr fontId="21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Pict="0" macro="[0]!LilyVlookup">
                <anchor moveWithCells="1" sizeWithCells="1">
                  <from>
                    <xdr:col>6</xdr:col>
                    <xdr:colOff>464820</xdr:colOff>
                    <xdr:row>0</xdr:row>
                    <xdr:rowOff>60960</xdr:rowOff>
                  </from>
                  <to>
                    <xdr:col>9</xdr:col>
                    <xdr:colOff>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4"/>
  <cols>
    <col min="1" max="1" width="9.6640625" style="37" customWidth="1"/>
    <col min="2" max="2" width="12" style="38" customWidth="1"/>
    <col min="3" max="3" width="8.44140625" style="38" customWidth="1"/>
    <col min="4" max="4" width="9.88671875" style="38" customWidth="1"/>
    <col min="5" max="5" width="14.21875" style="38" customWidth="1"/>
    <col min="6" max="6" width="11.6640625" style="39" customWidth="1"/>
    <col min="7" max="7" width="10.109375" style="38" customWidth="1"/>
    <col min="8" max="8" width="11" style="38" customWidth="1"/>
    <col min="9" max="9" width="11.21875" style="40" customWidth="1"/>
    <col min="10" max="10" width="18.88671875" style="40" customWidth="1"/>
    <col min="11" max="16384" width="9" style="41"/>
  </cols>
  <sheetData>
    <row r="1" spans="1:21" s="35" customFormat="1" ht="30.6" customHeight="1">
      <c r="B1" s="35" t="s">
        <v>34</v>
      </c>
      <c r="D1" s="42" t="s">
        <v>41</v>
      </c>
      <c r="E1" s="35" t="s">
        <v>36</v>
      </c>
    </row>
    <row r="2" spans="1:21" s="36" customFormat="1">
      <c r="A2" s="43" t="s">
        <v>41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str">
        <f>Sheet1!B11</f>
        <v>支出数</v>
      </c>
      <c r="H2" s="44" t="str">
        <f>Sheet1!A11</f>
        <v>预算代码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str">
        <f>Sheet1!E11</f>
        <v>支出时间</v>
      </c>
      <c r="M2" s="44">
        <f>Sheet1!F11</f>
        <v>0</v>
      </c>
      <c r="N2" s="44">
        <f>Sheet1!G11</f>
        <v>0</v>
      </c>
      <c r="O2" s="44">
        <f>Sheet1!H11</f>
        <v>0</v>
      </c>
      <c r="P2" s="44">
        <f>Sheet1!I11</f>
        <v>0</v>
      </c>
      <c r="Q2" s="44">
        <f>Sheet1!J11</f>
        <v>0</v>
      </c>
      <c r="R2" s="44">
        <f>Sheet1!K11</f>
        <v>0</v>
      </c>
      <c r="S2" s="44">
        <f>Sheet1!L11</f>
        <v>0</v>
      </c>
      <c r="T2" s="44">
        <f>Sheet1!M11</f>
        <v>0</v>
      </c>
      <c r="U2" s="44">
        <f>Sheet1!N11</f>
        <v>0</v>
      </c>
    </row>
    <row r="3" spans="1:21">
      <c r="A3" s="37">
        <v>1426089308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  <c r="S3" s="45" t="e">
        <f ca="1">INDEX(Sheet1!R:R,MATCH(姓名查!$A3,INDIRECT("sheet1!"&amp;VLOOKUP(Sheet1!$F$5,帮助!$BR:$BS,2,FALSE)&amp;":"&amp;VLOOKUP(Sheet1!$F$5,帮助!$BR:$BS,2,FALSE)),0))</f>
        <v>#N/A</v>
      </c>
      <c r="T3" s="45" t="e">
        <f ca="1">INDEX(Sheet1!S:S,MATCH(姓名查!$A3,INDIRECT("sheet1!"&amp;VLOOKUP(Sheet1!$F$5,帮助!$BR:$BS,2,FALSE)&amp;":"&amp;VLOOKUP(Sheet1!$F$5,帮助!$BR:$BS,2,FALSE)),0))</f>
        <v>#N/A</v>
      </c>
      <c r="U3" s="45" t="e">
        <f ca="1">INDEX(Sheet1!T:T,MATCH(姓名查!$A3,INDIRECT("sheet1!"&amp;VLOOKUP(Sheet1!$F$5,帮助!$BR:$BS,2,FALSE)&amp;":"&amp;VLOOKUP(Sheet1!$F$5,帮助!$BR:$BS,2,FALSE)),0))</f>
        <v>#N/A</v>
      </c>
    </row>
    <row r="4" spans="1:21"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  <c r="S4" s="45" t="e">
        <f ca="1">INDEX(Sheet1!R:R,MATCH(姓名查!$A4,INDIRECT("sheet1!"&amp;VLOOKUP(Sheet1!$F$5,帮助!$BR:$BS,2,FALSE)&amp;":"&amp;VLOOKUP(Sheet1!$F$5,帮助!$BR:$BS,2,FALSE)),0))</f>
        <v>#N/A</v>
      </c>
      <c r="T4" s="45" t="e">
        <f ca="1">INDEX(Sheet1!S:S,MATCH(姓名查!$A4,INDIRECT("sheet1!"&amp;VLOOKUP(Sheet1!$F$5,帮助!$BR:$BS,2,FALSE)&amp;":"&amp;VLOOKUP(Sheet1!$F$5,帮助!$BR:$BS,2,FALSE)),0))</f>
        <v>#N/A</v>
      </c>
      <c r="U4" s="45" t="e">
        <f ca="1">INDEX(Sheet1!T:T,MATCH(姓名查!$A4,INDIRECT("sheet1!"&amp;VLOOKUP(Sheet1!$F$5,帮助!$BR:$BS,2,FALSE)&amp;":"&amp;VLOOKUP(Sheet1!$F$5,帮助!$BR:$BS,2,FALSE)),0))</f>
        <v>#N/A</v>
      </c>
    </row>
    <row r="5" spans="1:21"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  <c r="S5" s="45" t="e">
        <f ca="1">INDEX(Sheet1!R:R,MATCH(姓名查!$A5,INDIRECT("sheet1!"&amp;VLOOKUP(Sheet1!$F$5,帮助!$BR:$BS,2,FALSE)&amp;":"&amp;VLOOKUP(Sheet1!$F$5,帮助!$BR:$BS,2,FALSE)),0))</f>
        <v>#N/A</v>
      </c>
      <c r="T5" s="45" t="e">
        <f ca="1">INDEX(Sheet1!S:S,MATCH(姓名查!$A5,INDIRECT("sheet1!"&amp;VLOOKUP(Sheet1!$F$5,帮助!$BR:$BS,2,FALSE)&amp;":"&amp;VLOOKUP(Sheet1!$F$5,帮助!$BR:$BS,2,FALSE)),0))</f>
        <v>#N/A</v>
      </c>
      <c r="U5" s="45" t="e">
        <f ca="1">INDEX(Sheet1!T:T,MATCH(姓名查!$A5,INDIRECT("sheet1!"&amp;VLOOKUP(Sheet1!$F$5,帮助!$BR:$BS,2,FALSE)&amp;":"&amp;VLOOKUP(Sheet1!$F$5,帮助!$BR:$BS,2,FALSE)),0))</f>
        <v>#N/A</v>
      </c>
    </row>
    <row r="6" spans="1:21"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  <c r="S6" s="45" t="e">
        <f ca="1">INDEX(Sheet1!R:R,MATCH(姓名查!$A6,INDIRECT("sheet1!"&amp;VLOOKUP(Sheet1!$F$5,帮助!$BR:$BS,2,FALSE)&amp;":"&amp;VLOOKUP(Sheet1!$F$5,帮助!$BR:$BS,2,FALSE)),0))</f>
        <v>#N/A</v>
      </c>
      <c r="T6" s="45" t="e">
        <f ca="1">INDEX(Sheet1!S:S,MATCH(姓名查!$A6,INDIRECT("sheet1!"&amp;VLOOKUP(Sheet1!$F$5,帮助!$BR:$BS,2,FALSE)&amp;":"&amp;VLOOKUP(Sheet1!$F$5,帮助!$BR:$BS,2,FALSE)),0))</f>
        <v>#N/A</v>
      </c>
      <c r="U6" s="45" t="e">
        <f ca="1">INDEX(Sheet1!T:T,MATCH(姓名查!$A6,INDIRECT("sheet1!"&amp;VLOOKUP(Sheet1!$F$5,帮助!$BR:$BS,2,FALSE)&amp;":"&amp;VLOOKUP(Sheet1!$F$5,帮助!$BR:$BS,2,FALSE)),0))</f>
        <v>#N/A</v>
      </c>
    </row>
    <row r="7" spans="1:21"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  <c r="S7" s="45" t="e">
        <f ca="1">INDEX(Sheet1!R:R,MATCH(姓名查!$A7,INDIRECT("sheet1!"&amp;VLOOKUP(Sheet1!$F$5,帮助!$BR:$BS,2,FALSE)&amp;":"&amp;VLOOKUP(Sheet1!$F$5,帮助!$BR:$BS,2,FALSE)),0))</f>
        <v>#N/A</v>
      </c>
      <c r="T7" s="45" t="e">
        <f ca="1">INDEX(Sheet1!S:S,MATCH(姓名查!$A7,INDIRECT("sheet1!"&amp;VLOOKUP(Sheet1!$F$5,帮助!$BR:$BS,2,FALSE)&amp;":"&amp;VLOOKUP(Sheet1!$F$5,帮助!$BR:$BS,2,FALSE)),0))</f>
        <v>#N/A</v>
      </c>
      <c r="U7" s="45" t="e">
        <f ca="1">INDEX(Sheet1!T:T,MATCH(姓名查!$A7,INDIRECT("sheet1!"&amp;VLOOKUP(Sheet1!$F$5,帮助!$BR:$BS,2,FALSE)&amp;":"&amp;VLOOKUP(Sheet1!$F$5,帮助!$BR:$BS,2,FALSE)),0))</f>
        <v>#N/A</v>
      </c>
    </row>
    <row r="8" spans="1:21"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  <c r="S8" s="45" t="e">
        <f ca="1">INDEX(Sheet1!R:R,MATCH(姓名查!$A8,INDIRECT("sheet1!"&amp;VLOOKUP(Sheet1!$F$5,帮助!$BR:$BS,2,FALSE)&amp;":"&amp;VLOOKUP(Sheet1!$F$5,帮助!$BR:$BS,2,FALSE)),0))</f>
        <v>#N/A</v>
      </c>
      <c r="T8" s="45" t="e">
        <f ca="1">INDEX(Sheet1!S:S,MATCH(姓名查!$A8,INDIRECT("sheet1!"&amp;VLOOKUP(Sheet1!$F$5,帮助!$BR:$BS,2,FALSE)&amp;":"&amp;VLOOKUP(Sheet1!$F$5,帮助!$BR:$BS,2,FALSE)),0))</f>
        <v>#N/A</v>
      </c>
      <c r="U8" s="45" t="e">
        <f ca="1">INDEX(Sheet1!T:T,MATCH(姓名查!$A8,INDIRECT("sheet1!"&amp;VLOOKUP(Sheet1!$F$5,帮助!$BR:$BS,2,FALSE)&amp;":"&amp;VLOOKUP(Sheet1!$F$5,帮助!$BR:$BS,2,FALSE)),0))</f>
        <v>#N/A</v>
      </c>
    </row>
    <row r="9" spans="1:21"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  <c r="S9" s="45" t="e">
        <f ca="1">INDEX(Sheet1!R:R,MATCH(姓名查!$A9,INDIRECT("sheet1!"&amp;VLOOKUP(Sheet1!$F$5,帮助!$BR:$BS,2,FALSE)&amp;":"&amp;VLOOKUP(Sheet1!$F$5,帮助!$BR:$BS,2,FALSE)),0))</f>
        <v>#N/A</v>
      </c>
      <c r="T9" s="45" t="e">
        <f ca="1">INDEX(Sheet1!S:S,MATCH(姓名查!$A9,INDIRECT("sheet1!"&amp;VLOOKUP(Sheet1!$F$5,帮助!$BR:$BS,2,FALSE)&amp;":"&amp;VLOOKUP(Sheet1!$F$5,帮助!$BR:$BS,2,FALSE)),0))</f>
        <v>#N/A</v>
      </c>
      <c r="U9" s="45" t="e">
        <f ca="1">INDEX(Sheet1!T:T,MATCH(姓名查!$A9,INDIRECT("sheet1!"&amp;VLOOKUP(Sheet1!$F$5,帮助!$BR:$BS,2,FALSE)&amp;":"&amp;VLOOKUP(Sheet1!$F$5,帮助!$BR:$BS,2,FALSE)),0))</f>
        <v>#N/A</v>
      </c>
    </row>
    <row r="10" spans="1:21"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  <c r="S10" s="45" t="e">
        <f ca="1">INDEX(Sheet1!R:R,MATCH(姓名查!$A10,INDIRECT("sheet1!"&amp;VLOOKUP(Sheet1!$F$5,帮助!$BR:$BS,2,FALSE)&amp;":"&amp;VLOOKUP(Sheet1!$F$5,帮助!$BR:$BS,2,FALSE)),0))</f>
        <v>#N/A</v>
      </c>
      <c r="T10" s="45" t="e">
        <f ca="1">INDEX(Sheet1!S:S,MATCH(姓名查!$A10,INDIRECT("sheet1!"&amp;VLOOKUP(Sheet1!$F$5,帮助!$BR:$BS,2,FALSE)&amp;":"&amp;VLOOKUP(Sheet1!$F$5,帮助!$BR:$BS,2,FALSE)),0))</f>
        <v>#N/A</v>
      </c>
      <c r="U10" s="45" t="e">
        <f ca="1">INDEX(Sheet1!T:T,MATCH(姓名查!$A10,INDIRECT("sheet1!"&amp;VLOOKUP(Sheet1!$F$5,帮助!$BR:$BS,2,FALSE)&amp;":"&amp;VLOOKUP(Sheet1!$F$5,帮助!$BR:$BS,2,FALSE)),0))</f>
        <v>#N/A</v>
      </c>
    </row>
    <row r="11" spans="1:21"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  <c r="S11" s="45" t="e">
        <f ca="1">INDEX(Sheet1!R:R,MATCH(姓名查!$A11,INDIRECT("sheet1!"&amp;VLOOKUP(Sheet1!$F$5,帮助!$BR:$BS,2,FALSE)&amp;":"&amp;VLOOKUP(Sheet1!$F$5,帮助!$BR:$BS,2,FALSE)),0))</f>
        <v>#N/A</v>
      </c>
      <c r="T11" s="45" t="e">
        <f ca="1">INDEX(Sheet1!S:S,MATCH(姓名查!$A11,INDIRECT("sheet1!"&amp;VLOOKUP(Sheet1!$F$5,帮助!$BR:$BS,2,FALSE)&amp;":"&amp;VLOOKUP(Sheet1!$F$5,帮助!$BR:$BS,2,FALSE)),0))</f>
        <v>#N/A</v>
      </c>
      <c r="U11" s="45" t="e">
        <f ca="1">INDEX(Sheet1!T:T,MATCH(姓名查!$A11,INDIRECT("sheet1!"&amp;VLOOKUP(Sheet1!$F$5,帮助!$BR:$BS,2,FALSE)&amp;":"&amp;VLOOKUP(Sheet1!$F$5,帮助!$BR:$BS,2,FALSE)),0))</f>
        <v>#N/A</v>
      </c>
    </row>
    <row r="12" spans="1:21"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  <c r="S12" s="45" t="e">
        <f ca="1">INDEX(Sheet1!R:R,MATCH(姓名查!$A12,INDIRECT("sheet1!"&amp;VLOOKUP(Sheet1!$F$5,帮助!$BR:$BS,2,FALSE)&amp;":"&amp;VLOOKUP(Sheet1!$F$5,帮助!$BR:$BS,2,FALSE)),0))</f>
        <v>#N/A</v>
      </c>
      <c r="T12" s="45" t="e">
        <f ca="1">INDEX(Sheet1!S:S,MATCH(姓名查!$A12,INDIRECT("sheet1!"&amp;VLOOKUP(Sheet1!$F$5,帮助!$BR:$BS,2,FALSE)&amp;":"&amp;VLOOKUP(Sheet1!$F$5,帮助!$BR:$BS,2,FALSE)),0))</f>
        <v>#N/A</v>
      </c>
      <c r="U12" s="45" t="e">
        <f ca="1">INDEX(Sheet1!T:T,MATCH(姓名查!$A12,INDIRECT("sheet1!"&amp;VLOOKUP(Sheet1!$F$5,帮助!$BR:$BS,2,FALSE)&amp;":"&amp;VLOOKUP(Sheet1!$F$5,帮助!$BR:$BS,2,FALSE)),0))</f>
        <v>#N/A</v>
      </c>
    </row>
    <row r="13" spans="1:21"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  <c r="S13" s="45" t="e">
        <f ca="1">INDEX(Sheet1!R:R,MATCH(姓名查!$A13,INDIRECT("sheet1!"&amp;VLOOKUP(Sheet1!$F$5,帮助!$BR:$BS,2,FALSE)&amp;":"&amp;VLOOKUP(Sheet1!$F$5,帮助!$BR:$BS,2,FALSE)),0))</f>
        <v>#N/A</v>
      </c>
      <c r="T13" s="45" t="e">
        <f ca="1">INDEX(Sheet1!S:S,MATCH(姓名查!$A13,INDIRECT("sheet1!"&amp;VLOOKUP(Sheet1!$F$5,帮助!$BR:$BS,2,FALSE)&amp;":"&amp;VLOOKUP(Sheet1!$F$5,帮助!$BR:$BS,2,FALSE)),0))</f>
        <v>#N/A</v>
      </c>
      <c r="U13" s="45" t="e">
        <f ca="1">INDEX(Sheet1!T:T,MATCH(姓名查!$A13,INDIRECT("sheet1!"&amp;VLOOKUP(Sheet1!$F$5,帮助!$BR:$BS,2,FALSE)&amp;":"&amp;VLOOKUP(Sheet1!$F$5,帮助!$BR:$BS,2,FALSE)),0))</f>
        <v>#N/A</v>
      </c>
    </row>
    <row r="14" spans="1:21"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  <c r="S14" s="45" t="e">
        <f ca="1">INDEX(Sheet1!R:R,MATCH(姓名查!$A14,INDIRECT("sheet1!"&amp;VLOOKUP(Sheet1!$F$5,帮助!$BR:$BS,2,FALSE)&amp;":"&amp;VLOOKUP(Sheet1!$F$5,帮助!$BR:$BS,2,FALSE)),0))</f>
        <v>#N/A</v>
      </c>
      <c r="T14" s="45" t="e">
        <f ca="1">INDEX(Sheet1!S:S,MATCH(姓名查!$A14,INDIRECT("sheet1!"&amp;VLOOKUP(Sheet1!$F$5,帮助!$BR:$BS,2,FALSE)&amp;":"&amp;VLOOKUP(Sheet1!$F$5,帮助!$BR:$BS,2,FALSE)),0))</f>
        <v>#N/A</v>
      </c>
      <c r="U14" s="45" t="e">
        <f ca="1">INDEX(Sheet1!T:T,MATCH(姓名查!$A14,INDIRECT("sheet1!"&amp;VLOOKUP(Sheet1!$F$5,帮助!$BR:$BS,2,FALSE)&amp;":"&amp;VLOOKUP(Sheet1!$F$5,帮助!$BR:$BS,2,FALSE)),0))</f>
        <v>#N/A</v>
      </c>
    </row>
    <row r="15" spans="1:21">
      <c r="B15" s="45" t="e">
        <f ca="1">INDEX(Sheet1!A:A,MATCH(姓名查!$A15,INDIRECT("sheet1!"&amp;VLOOKUP(Sheet1!$F$5,帮助!$BR:$BS,2,FALSE)&amp;":"&amp;VLOOKUP(Sheet1!$F$5,帮助!$BR:$BS,2,FALSE)),0))</f>
        <v>#N/A</v>
      </c>
      <c r="C15" s="45" t="e">
        <f ca="1">INDEX(Sheet1!B:B,MATCH(姓名查!$A15,INDIRECT("sheet1!"&amp;VLOOKUP(Sheet1!$F$5,帮助!$BR:$BS,2,FALSE)&amp;":"&amp;VLOOKUP(Sheet1!$F$5,帮助!$BR:$BS,2,FALSE)),0))</f>
        <v>#N/A</v>
      </c>
      <c r="D15" s="45" t="e">
        <f ca="1">INDEX(Sheet1!C:C,MATCH(姓名查!$A15,INDIRECT("sheet1!"&amp;VLOOKUP(Sheet1!$F$5,帮助!$BR:$BS,2,FALSE)&amp;":"&amp;VLOOKUP(Sheet1!$F$5,帮助!$BR:$BS,2,FALSE)),0))</f>
        <v>#N/A</v>
      </c>
      <c r="E15" s="45" t="e">
        <f ca="1">INDEX(Sheet1!D:D,MATCH(姓名查!$A15,INDIRECT("sheet1!"&amp;VLOOKUP(Sheet1!$F$5,帮助!$BR:$BS,2,FALSE)&amp;":"&amp;VLOOKUP(Sheet1!$F$5,帮助!$BR:$BS,2,FALSE)),0))</f>
        <v>#N/A</v>
      </c>
      <c r="F15" s="45" t="e">
        <f ca="1">INDEX(Sheet1!E:E,MATCH(姓名查!$A15,INDIRECT("sheet1!"&amp;VLOOKUP(Sheet1!$F$5,帮助!$BR:$BS,2,FALSE)&amp;":"&amp;VLOOKUP(Sheet1!$F$5,帮助!$BR:$BS,2,FALSE)),0))</f>
        <v>#N/A</v>
      </c>
      <c r="G15" s="45" t="e">
        <f ca="1">INDEX(Sheet1!F:F,MATCH(姓名查!$A15,INDIRECT("sheet1!"&amp;VLOOKUP(Sheet1!$F$5,帮助!$BR:$BS,2,FALSE)&amp;":"&amp;VLOOKUP(Sheet1!$F$5,帮助!$BR:$BS,2,FALSE)),0))</f>
        <v>#N/A</v>
      </c>
      <c r="H15" s="45" t="e">
        <f ca="1">INDEX(Sheet1!G:G,MATCH(姓名查!$A15,INDIRECT("sheet1!"&amp;VLOOKUP(Sheet1!$F$5,帮助!$BR:$BS,2,FALSE)&amp;":"&amp;VLOOKUP(Sheet1!$F$5,帮助!$BR:$BS,2,FALSE)),0))</f>
        <v>#N/A</v>
      </c>
      <c r="I15" s="45" t="e">
        <f ca="1">INDEX(Sheet1!H:H,MATCH(姓名查!$A15,INDIRECT("sheet1!"&amp;VLOOKUP(Sheet1!$F$5,帮助!$BR:$BS,2,FALSE)&amp;":"&amp;VLOOKUP(Sheet1!$F$5,帮助!$BR:$BS,2,FALSE)),0))</f>
        <v>#N/A</v>
      </c>
      <c r="J15" s="45" t="e">
        <f ca="1">INDEX(Sheet1!I:I,MATCH(姓名查!$A15,INDIRECT("sheet1!"&amp;VLOOKUP(Sheet1!$F$5,帮助!$BR:$BS,2,FALSE)&amp;":"&amp;VLOOKUP(Sheet1!$F$5,帮助!$BR:$BS,2,FALSE)),0))</f>
        <v>#N/A</v>
      </c>
      <c r="K15" s="45" t="e">
        <f ca="1">INDEX(Sheet1!J:J,MATCH(姓名查!$A15,INDIRECT("sheet1!"&amp;VLOOKUP(Sheet1!$F$5,帮助!$BR:$BS,2,FALSE)&amp;":"&amp;VLOOKUP(Sheet1!$F$5,帮助!$BR:$BS,2,FALSE)),0))</f>
        <v>#N/A</v>
      </c>
      <c r="L15" s="45" t="e">
        <f ca="1">INDEX(Sheet1!K:K,MATCH(姓名查!$A15,INDIRECT("sheet1!"&amp;VLOOKUP(Sheet1!$F$5,帮助!$BR:$BS,2,FALSE)&amp;":"&amp;VLOOKUP(Sheet1!$F$5,帮助!$BR:$BS,2,FALSE)),0))</f>
        <v>#N/A</v>
      </c>
      <c r="M15" s="45" t="e">
        <f ca="1">INDEX(Sheet1!L:L,MATCH(姓名查!$A15,INDIRECT("sheet1!"&amp;VLOOKUP(Sheet1!$F$5,帮助!$BR:$BS,2,FALSE)&amp;":"&amp;VLOOKUP(Sheet1!$F$5,帮助!$BR:$BS,2,FALSE)),0))</f>
        <v>#N/A</v>
      </c>
      <c r="N15" s="45" t="e">
        <f ca="1">INDEX(Sheet1!M:M,MATCH(姓名查!$A15,INDIRECT("sheet1!"&amp;VLOOKUP(Sheet1!$F$5,帮助!$BR:$BS,2,FALSE)&amp;":"&amp;VLOOKUP(Sheet1!$F$5,帮助!$BR:$BS,2,FALSE)),0))</f>
        <v>#N/A</v>
      </c>
      <c r="O15" s="45" t="e">
        <f ca="1">INDEX(Sheet1!N:N,MATCH(姓名查!$A15,INDIRECT("sheet1!"&amp;VLOOKUP(Sheet1!$F$5,帮助!$BR:$BS,2,FALSE)&amp;":"&amp;VLOOKUP(Sheet1!$F$5,帮助!$BR:$BS,2,FALSE)),0))</f>
        <v>#N/A</v>
      </c>
      <c r="P15" s="45" t="e">
        <f ca="1">INDEX(Sheet1!O:O,MATCH(姓名查!$A15,INDIRECT("sheet1!"&amp;VLOOKUP(Sheet1!$F$5,帮助!$BR:$BS,2,FALSE)&amp;":"&amp;VLOOKUP(Sheet1!$F$5,帮助!$BR:$BS,2,FALSE)),0))</f>
        <v>#N/A</v>
      </c>
      <c r="Q15" s="45" t="e">
        <f ca="1">INDEX(Sheet1!P:P,MATCH(姓名查!$A15,INDIRECT("sheet1!"&amp;VLOOKUP(Sheet1!$F$5,帮助!$BR:$BS,2,FALSE)&amp;":"&amp;VLOOKUP(Sheet1!$F$5,帮助!$BR:$BS,2,FALSE)),0))</f>
        <v>#N/A</v>
      </c>
      <c r="R15" s="45" t="e">
        <f ca="1">INDEX(Sheet1!Q:Q,MATCH(姓名查!$A15,INDIRECT("sheet1!"&amp;VLOOKUP(Sheet1!$F$5,帮助!$BR:$BS,2,FALSE)&amp;":"&amp;VLOOKUP(Sheet1!$F$5,帮助!$BR:$BS,2,FALSE)),0))</f>
        <v>#N/A</v>
      </c>
      <c r="S15" s="45" t="e">
        <f ca="1">INDEX(Sheet1!R:R,MATCH(姓名查!$A15,INDIRECT("sheet1!"&amp;VLOOKUP(Sheet1!$F$5,帮助!$BR:$BS,2,FALSE)&amp;":"&amp;VLOOKUP(Sheet1!$F$5,帮助!$BR:$BS,2,FALSE)),0))</f>
        <v>#N/A</v>
      </c>
      <c r="T15" s="45" t="e">
        <f ca="1">INDEX(Sheet1!S:S,MATCH(姓名查!$A15,INDIRECT("sheet1!"&amp;VLOOKUP(Sheet1!$F$5,帮助!$BR:$BS,2,FALSE)&amp;":"&amp;VLOOKUP(Sheet1!$F$5,帮助!$BR:$BS,2,FALSE)),0))</f>
        <v>#N/A</v>
      </c>
      <c r="U15" s="45" t="e">
        <f ca="1">INDEX(Sheet1!T:T,MATCH(姓名查!$A15,INDIRECT("sheet1!"&amp;VLOOKUP(Sheet1!$F$5,帮助!$BR:$BS,2,FALSE)&amp;":"&amp;VLOOKUP(Sheet1!$F$5,帮助!$BR:$BS,2,FALSE)),0))</f>
        <v>#N/A</v>
      </c>
    </row>
    <row r="16" spans="1:21">
      <c r="B16" s="45" t="e">
        <f ca="1">INDEX(Sheet1!A:A,MATCH(姓名查!$A16,INDIRECT("sheet1!"&amp;VLOOKUP(Sheet1!$F$5,帮助!$BR:$BS,2,FALSE)&amp;":"&amp;VLOOKUP(Sheet1!$F$5,帮助!$BR:$BS,2,FALSE)),0))</f>
        <v>#N/A</v>
      </c>
      <c r="C16" s="45" t="e">
        <f ca="1">INDEX(Sheet1!B:B,MATCH(姓名查!$A16,INDIRECT("sheet1!"&amp;VLOOKUP(Sheet1!$F$5,帮助!$BR:$BS,2,FALSE)&amp;":"&amp;VLOOKUP(Sheet1!$F$5,帮助!$BR:$BS,2,FALSE)),0))</f>
        <v>#N/A</v>
      </c>
      <c r="D16" s="45" t="e">
        <f ca="1">INDEX(Sheet1!C:C,MATCH(姓名查!$A16,INDIRECT("sheet1!"&amp;VLOOKUP(Sheet1!$F$5,帮助!$BR:$BS,2,FALSE)&amp;":"&amp;VLOOKUP(Sheet1!$F$5,帮助!$BR:$BS,2,FALSE)),0))</f>
        <v>#N/A</v>
      </c>
      <c r="E16" s="45" t="e">
        <f ca="1">INDEX(Sheet1!D:D,MATCH(姓名查!$A16,INDIRECT("sheet1!"&amp;VLOOKUP(Sheet1!$F$5,帮助!$BR:$BS,2,FALSE)&amp;":"&amp;VLOOKUP(Sheet1!$F$5,帮助!$BR:$BS,2,FALSE)),0))</f>
        <v>#N/A</v>
      </c>
      <c r="F16" s="45" t="e">
        <f ca="1">INDEX(Sheet1!E:E,MATCH(姓名查!$A16,INDIRECT("sheet1!"&amp;VLOOKUP(Sheet1!$F$5,帮助!$BR:$BS,2,FALSE)&amp;":"&amp;VLOOKUP(Sheet1!$F$5,帮助!$BR:$BS,2,FALSE)),0))</f>
        <v>#N/A</v>
      </c>
      <c r="G16" s="45" t="e">
        <f ca="1">INDEX(Sheet1!F:F,MATCH(姓名查!$A16,INDIRECT("sheet1!"&amp;VLOOKUP(Sheet1!$F$5,帮助!$BR:$BS,2,FALSE)&amp;":"&amp;VLOOKUP(Sheet1!$F$5,帮助!$BR:$BS,2,FALSE)),0))</f>
        <v>#N/A</v>
      </c>
      <c r="H16" s="45" t="e">
        <f ca="1">INDEX(Sheet1!G:G,MATCH(姓名查!$A16,INDIRECT("sheet1!"&amp;VLOOKUP(Sheet1!$F$5,帮助!$BR:$BS,2,FALSE)&amp;":"&amp;VLOOKUP(Sheet1!$F$5,帮助!$BR:$BS,2,FALSE)),0))</f>
        <v>#N/A</v>
      </c>
      <c r="I16" s="45" t="e">
        <f ca="1">INDEX(Sheet1!H:H,MATCH(姓名查!$A16,INDIRECT("sheet1!"&amp;VLOOKUP(Sheet1!$F$5,帮助!$BR:$BS,2,FALSE)&amp;":"&amp;VLOOKUP(Sheet1!$F$5,帮助!$BR:$BS,2,FALSE)),0))</f>
        <v>#N/A</v>
      </c>
      <c r="J16" s="45" t="e">
        <f ca="1">INDEX(Sheet1!I:I,MATCH(姓名查!$A16,INDIRECT("sheet1!"&amp;VLOOKUP(Sheet1!$F$5,帮助!$BR:$BS,2,FALSE)&amp;":"&amp;VLOOKUP(Sheet1!$F$5,帮助!$BR:$BS,2,FALSE)),0))</f>
        <v>#N/A</v>
      </c>
      <c r="K16" s="45" t="e">
        <f ca="1">INDEX(Sheet1!J:J,MATCH(姓名查!$A16,INDIRECT("sheet1!"&amp;VLOOKUP(Sheet1!$F$5,帮助!$BR:$BS,2,FALSE)&amp;":"&amp;VLOOKUP(Sheet1!$F$5,帮助!$BR:$BS,2,FALSE)),0))</f>
        <v>#N/A</v>
      </c>
      <c r="L16" s="45" t="e">
        <f ca="1">INDEX(Sheet1!K:K,MATCH(姓名查!$A16,INDIRECT("sheet1!"&amp;VLOOKUP(Sheet1!$F$5,帮助!$BR:$BS,2,FALSE)&amp;":"&amp;VLOOKUP(Sheet1!$F$5,帮助!$BR:$BS,2,FALSE)),0))</f>
        <v>#N/A</v>
      </c>
      <c r="M16" s="45" t="e">
        <f ca="1">INDEX(Sheet1!L:L,MATCH(姓名查!$A16,INDIRECT("sheet1!"&amp;VLOOKUP(Sheet1!$F$5,帮助!$BR:$BS,2,FALSE)&amp;":"&amp;VLOOKUP(Sheet1!$F$5,帮助!$BR:$BS,2,FALSE)),0))</f>
        <v>#N/A</v>
      </c>
      <c r="N16" s="45" t="e">
        <f ca="1">INDEX(Sheet1!M:M,MATCH(姓名查!$A16,INDIRECT("sheet1!"&amp;VLOOKUP(Sheet1!$F$5,帮助!$BR:$BS,2,FALSE)&amp;":"&amp;VLOOKUP(Sheet1!$F$5,帮助!$BR:$BS,2,FALSE)),0))</f>
        <v>#N/A</v>
      </c>
      <c r="O16" s="45" t="e">
        <f ca="1">INDEX(Sheet1!N:N,MATCH(姓名查!$A16,INDIRECT("sheet1!"&amp;VLOOKUP(Sheet1!$F$5,帮助!$BR:$BS,2,FALSE)&amp;":"&amp;VLOOKUP(Sheet1!$F$5,帮助!$BR:$BS,2,FALSE)),0))</f>
        <v>#N/A</v>
      </c>
      <c r="P16" s="45" t="e">
        <f ca="1">INDEX(Sheet1!O:O,MATCH(姓名查!$A16,INDIRECT("sheet1!"&amp;VLOOKUP(Sheet1!$F$5,帮助!$BR:$BS,2,FALSE)&amp;":"&amp;VLOOKUP(Sheet1!$F$5,帮助!$BR:$BS,2,FALSE)),0))</f>
        <v>#N/A</v>
      </c>
      <c r="Q16" s="45" t="e">
        <f ca="1">INDEX(Sheet1!P:P,MATCH(姓名查!$A16,INDIRECT("sheet1!"&amp;VLOOKUP(Sheet1!$F$5,帮助!$BR:$BS,2,FALSE)&amp;":"&amp;VLOOKUP(Sheet1!$F$5,帮助!$BR:$BS,2,FALSE)),0))</f>
        <v>#N/A</v>
      </c>
      <c r="R16" s="45" t="e">
        <f ca="1">INDEX(Sheet1!Q:Q,MATCH(姓名查!$A16,INDIRECT("sheet1!"&amp;VLOOKUP(Sheet1!$F$5,帮助!$BR:$BS,2,FALSE)&amp;":"&amp;VLOOKUP(Sheet1!$F$5,帮助!$BR:$BS,2,FALSE)),0))</f>
        <v>#N/A</v>
      </c>
      <c r="S16" s="45" t="e">
        <f ca="1">INDEX(Sheet1!R:R,MATCH(姓名查!$A16,INDIRECT("sheet1!"&amp;VLOOKUP(Sheet1!$F$5,帮助!$BR:$BS,2,FALSE)&amp;":"&amp;VLOOKUP(Sheet1!$F$5,帮助!$BR:$BS,2,FALSE)),0))</f>
        <v>#N/A</v>
      </c>
      <c r="T16" s="45" t="e">
        <f ca="1">INDEX(Sheet1!S:S,MATCH(姓名查!$A16,INDIRECT("sheet1!"&amp;VLOOKUP(Sheet1!$F$5,帮助!$BR:$BS,2,FALSE)&amp;":"&amp;VLOOKUP(Sheet1!$F$5,帮助!$BR:$BS,2,FALSE)),0))</f>
        <v>#N/A</v>
      </c>
      <c r="U16" s="45" t="e">
        <f ca="1">INDEX(Sheet1!T:T,MATCH(姓名查!$A16,INDIRECT("sheet1!"&amp;VLOOKUP(Sheet1!$F$5,帮助!$BR:$BS,2,FALSE)&amp;":"&amp;VLOOKUP(Sheet1!$F$5,帮助!$BR:$BS,2,FALSE)),0))</f>
        <v>#N/A</v>
      </c>
    </row>
    <row r="17" spans="1:12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 securityDescriptor=""/>
    <protectedRange sqref="A2" name="区域1_1_1" securityDescriptor=""/>
  </protectedRanges>
  <phoneticPr fontId="21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4.4"/>
  <cols>
    <col min="1" max="1" width="21.6640625" style="3" customWidth="1"/>
    <col min="2" max="2" width="4.44140625" style="4" customWidth="1"/>
    <col min="3" max="3" width="8.6640625" style="4" customWidth="1"/>
    <col min="4" max="4" width="4.44140625" style="4" customWidth="1"/>
    <col min="5" max="7" width="9" style="5" customWidth="1"/>
    <col min="8" max="8" width="9" style="6"/>
    <col min="9" max="9" width="25.21875" style="4" customWidth="1"/>
    <col min="10" max="77" width="9" style="4" customWidth="1"/>
    <col min="78" max="16384" width="9" style="4"/>
  </cols>
  <sheetData>
    <row r="1" spans="1:71">
      <c r="A1" s="7"/>
      <c r="B1" s="8"/>
      <c r="C1" s="8"/>
      <c r="D1" s="9" t="s">
        <v>42</v>
      </c>
      <c r="E1" s="9" t="s">
        <v>43</v>
      </c>
      <c r="F1" s="10"/>
      <c r="G1" s="10"/>
      <c r="H1" s="11"/>
      <c r="I1" s="2"/>
      <c r="J1" s="8"/>
      <c r="K1" s="32" t="s">
        <v>1</v>
      </c>
      <c r="L1" s="2"/>
      <c r="M1" s="32" t="s">
        <v>44</v>
      </c>
      <c r="N1" s="32" t="s">
        <v>0</v>
      </c>
      <c r="O1" s="32" t="s">
        <v>45</v>
      </c>
      <c r="P1" s="32" t="s">
        <v>35</v>
      </c>
      <c r="Q1" s="32" t="s">
        <v>46</v>
      </c>
      <c r="R1" s="32" t="s">
        <v>27</v>
      </c>
      <c r="S1" s="32"/>
      <c r="T1" s="32" t="s">
        <v>29</v>
      </c>
      <c r="U1" s="32" t="s">
        <v>47</v>
      </c>
      <c r="V1" s="32" t="s">
        <v>21</v>
      </c>
      <c r="W1" s="32" t="s">
        <v>48</v>
      </c>
      <c r="X1" s="32" t="s">
        <v>17</v>
      </c>
      <c r="Y1" s="32" t="s">
        <v>49</v>
      </c>
      <c r="Z1" s="32" t="s">
        <v>32</v>
      </c>
      <c r="AA1" s="32" t="s">
        <v>50</v>
      </c>
      <c r="AB1" s="32" t="s">
        <v>51</v>
      </c>
      <c r="AC1" s="32" t="s">
        <v>52</v>
      </c>
      <c r="AD1" s="32" t="s">
        <v>53</v>
      </c>
      <c r="AE1" s="32" t="s">
        <v>54</v>
      </c>
      <c r="AF1" s="32" t="s">
        <v>55</v>
      </c>
      <c r="AG1" s="32" t="s">
        <v>56</v>
      </c>
      <c r="AH1" s="32" t="s">
        <v>57</v>
      </c>
      <c r="AI1" s="32" t="s">
        <v>58</v>
      </c>
      <c r="AJ1" s="32" t="s">
        <v>59</v>
      </c>
      <c r="AK1" s="32" t="s">
        <v>60</v>
      </c>
      <c r="AL1" s="32" t="s">
        <v>61</v>
      </c>
      <c r="AM1" s="32" t="s">
        <v>62</v>
      </c>
      <c r="AN1" s="32" t="s">
        <v>63</v>
      </c>
      <c r="AO1" s="32" t="s">
        <v>64</v>
      </c>
      <c r="AP1" s="32" t="s">
        <v>65</v>
      </c>
      <c r="AQ1" s="32" t="s">
        <v>66</v>
      </c>
      <c r="AR1" s="32" t="s">
        <v>67</v>
      </c>
      <c r="AS1" s="32" t="s">
        <v>68</v>
      </c>
      <c r="AT1" s="32" t="s">
        <v>69</v>
      </c>
      <c r="AU1" s="32" t="s">
        <v>70</v>
      </c>
      <c r="AV1" s="32" t="s">
        <v>71</v>
      </c>
      <c r="AW1" s="32" t="s">
        <v>72</v>
      </c>
      <c r="AX1" s="32" t="s">
        <v>73</v>
      </c>
      <c r="AY1" s="32" t="s">
        <v>74</v>
      </c>
      <c r="AZ1" s="32" t="s">
        <v>75</v>
      </c>
      <c r="BA1" s="32" t="s">
        <v>76</v>
      </c>
      <c r="BB1" s="32" t="s">
        <v>77</v>
      </c>
      <c r="BC1" s="32" t="s">
        <v>78</v>
      </c>
      <c r="BD1" s="32" t="s">
        <v>79</v>
      </c>
      <c r="BE1" s="32" t="s">
        <v>80</v>
      </c>
      <c r="BF1" s="32" t="s">
        <v>81</v>
      </c>
      <c r="BG1" s="32" t="s">
        <v>82</v>
      </c>
      <c r="BH1" s="32" t="s">
        <v>83</v>
      </c>
      <c r="BI1" s="32" t="s">
        <v>84</v>
      </c>
      <c r="BJ1" s="32" t="s">
        <v>85</v>
      </c>
      <c r="BK1" s="32" t="s">
        <v>86</v>
      </c>
      <c r="BL1" s="32" t="s">
        <v>87</v>
      </c>
      <c r="BM1" s="32" t="s">
        <v>88</v>
      </c>
      <c r="BN1" s="32" t="s">
        <v>89</v>
      </c>
      <c r="BO1" s="32" t="s">
        <v>90</v>
      </c>
      <c r="BP1" s="32" t="s">
        <v>91</v>
      </c>
      <c r="BQ1" s="32" t="s">
        <v>92</v>
      </c>
    </row>
    <row r="2" spans="1:71">
      <c r="A2" s="7"/>
      <c r="B2" s="12"/>
      <c r="C2" s="13"/>
      <c r="D2" s="8"/>
      <c r="E2" s="12" t="s">
        <v>2</v>
      </c>
      <c r="F2" s="14">
        <v>660205</v>
      </c>
      <c r="G2" s="8"/>
      <c r="H2" s="11"/>
      <c r="I2" s="2"/>
      <c r="J2" s="33"/>
      <c r="K2" s="32" t="s">
        <v>93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7"/>
      <c r="B3" s="12"/>
      <c r="C3" s="13"/>
      <c r="D3" s="13"/>
      <c r="F3" s="8"/>
      <c r="G3" s="8"/>
      <c r="H3" s="15"/>
      <c r="I3" s="2"/>
      <c r="J3" s="8"/>
      <c r="K3" s="32" t="s">
        <v>94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7"/>
      <c r="B6" s="12"/>
      <c r="C6" s="12"/>
      <c r="D6" s="8"/>
      <c r="E6" s="8"/>
      <c r="F6" s="8"/>
      <c r="G6" s="8"/>
      <c r="H6" s="15"/>
      <c r="I6" s="32" t="s">
        <v>95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7"/>
      <c r="B7" s="12"/>
      <c r="C7" s="12"/>
      <c r="D7" s="8"/>
      <c r="E7" s="12" t="s">
        <v>96</v>
      </c>
      <c r="F7" s="17" t="str">
        <f>J4&amp;"index.php/Qwadmin/Rwxy/echosheetname?"</f>
        <v>index.php/Qwadmin/Rwxy/echosheetname?</v>
      </c>
      <c r="G7" s="8"/>
      <c r="H7" s="15"/>
      <c r="I7" s="32" t="s">
        <v>97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" customFormat="1">
      <c r="A8" s="18" t="s">
        <v>98</v>
      </c>
      <c r="B8" s="19"/>
      <c r="C8" s="19"/>
      <c r="D8" s="19"/>
      <c r="E8" s="19"/>
      <c r="F8" s="20"/>
      <c r="G8" s="21"/>
      <c r="H8" s="22"/>
    </row>
    <row r="9" spans="1:71">
      <c r="A9" s="23" t="s">
        <v>99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29</v>
      </c>
      <c r="BS9" s="34" t="s">
        <v>100</v>
      </c>
    </row>
    <row r="10" spans="1:71" s="2" customFormat="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15</v>
      </c>
      <c r="BS10" s="32" t="s">
        <v>101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21</v>
      </c>
      <c r="BS11" s="34" t="s">
        <v>102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30</v>
      </c>
      <c r="BS12" s="32" t="s">
        <v>103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17</v>
      </c>
      <c r="BS13" s="34" t="s">
        <v>104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31</v>
      </c>
      <c r="BS14" s="32" t="s">
        <v>105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32</v>
      </c>
      <c r="BS15" s="34" t="s">
        <v>106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33</v>
      </c>
      <c r="BS16" s="4" t="s">
        <v>107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51</v>
      </c>
      <c r="BS17" s="4" t="s">
        <v>108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109</v>
      </c>
      <c r="BS18" s="4" t="s">
        <v>110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53</v>
      </c>
      <c r="BS19" s="4" t="s">
        <v>111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112</v>
      </c>
      <c r="BS20" s="4" t="s">
        <v>113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55</v>
      </c>
      <c r="BS21" s="4" t="s">
        <v>114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115</v>
      </c>
      <c r="BS22" s="4" t="s">
        <v>116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57</v>
      </c>
      <c r="BS23" s="4" t="s">
        <v>117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118</v>
      </c>
      <c r="BS24" s="4" t="s">
        <v>119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59</v>
      </c>
      <c r="BS25" s="4" t="s">
        <v>120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121</v>
      </c>
      <c r="BS26" s="4" t="s">
        <v>122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61</v>
      </c>
      <c r="BS27" s="4" t="s">
        <v>123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124</v>
      </c>
      <c r="BS28" s="4" t="s">
        <v>125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63</v>
      </c>
      <c r="BS29" s="4" t="s">
        <v>126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127</v>
      </c>
      <c r="BS30" s="4" t="s">
        <v>128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65</v>
      </c>
      <c r="BS31" s="4" t="s">
        <v>129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130</v>
      </c>
      <c r="BS32" s="4" t="s">
        <v>131</v>
      </c>
    </row>
    <row r="33" spans="1:72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67</v>
      </c>
      <c r="BS33" s="4" t="s">
        <v>132</v>
      </c>
    </row>
    <row r="34" spans="1:72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133</v>
      </c>
      <c r="BS34" s="4" t="s">
        <v>134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69</v>
      </c>
      <c r="BS35" s="4" t="s">
        <v>135</v>
      </c>
      <c r="BT35" s="4" t="str">
        <f>"A"&amp;BS35</f>
        <v>AAA</v>
      </c>
    </row>
    <row r="36" spans="1:72">
      <c r="J36" s="34"/>
      <c r="BR36" s="4" t="s">
        <v>136</v>
      </c>
      <c r="BS36" s="4" t="s">
        <v>137</v>
      </c>
      <c r="BT36" s="4" t="str">
        <f t="shared" ref="BT36:BT58" si="0">"A"&amp;BS36</f>
        <v>AAB</v>
      </c>
    </row>
    <row r="37" spans="1:72">
      <c r="J37" s="34"/>
      <c r="BR37" s="4" t="s">
        <v>71</v>
      </c>
      <c r="BS37" s="4" t="s">
        <v>138</v>
      </c>
      <c r="BT37" s="4" t="str">
        <f t="shared" si="0"/>
        <v>AAC</v>
      </c>
    </row>
    <row r="38" spans="1:72">
      <c r="J38" s="34"/>
      <c r="BR38" s="4" t="s">
        <v>139</v>
      </c>
      <c r="BS38" s="4" t="s">
        <v>140</v>
      </c>
      <c r="BT38" s="4" t="str">
        <f t="shared" si="0"/>
        <v>AAD</v>
      </c>
    </row>
    <row r="39" spans="1:72">
      <c r="J39" s="34"/>
      <c r="BR39" s="4" t="s">
        <v>73</v>
      </c>
      <c r="BS39" s="4" t="s">
        <v>141</v>
      </c>
      <c r="BT39" s="4" t="str">
        <f t="shared" si="0"/>
        <v>AAE</v>
      </c>
    </row>
    <row r="40" spans="1:72">
      <c r="J40" s="34"/>
      <c r="BR40" s="4" t="s">
        <v>142</v>
      </c>
      <c r="BS40" s="4" t="s">
        <v>143</v>
      </c>
      <c r="BT40" s="4" t="str">
        <f t="shared" si="0"/>
        <v>AAF</v>
      </c>
    </row>
    <row r="41" spans="1:72">
      <c r="J41" s="34"/>
      <c r="BR41" s="4" t="s">
        <v>75</v>
      </c>
      <c r="BS41" s="4" t="s">
        <v>144</v>
      </c>
      <c r="BT41" s="4" t="str">
        <f t="shared" si="0"/>
        <v>AAG</v>
      </c>
    </row>
    <row r="42" spans="1:72">
      <c r="J42" s="34"/>
      <c r="BR42" s="4" t="s">
        <v>145</v>
      </c>
      <c r="BS42" s="4" t="s">
        <v>146</v>
      </c>
      <c r="BT42" s="4" t="str">
        <f t="shared" si="0"/>
        <v>AAH</v>
      </c>
    </row>
    <row r="43" spans="1:72">
      <c r="J43" s="34"/>
      <c r="BR43" s="4" t="s">
        <v>77</v>
      </c>
      <c r="BS43" s="4" t="s">
        <v>147</v>
      </c>
      <c r="BT43" s="4" t="str">
        <f t="shared" si="0"/>
        <v>AAI</v>
      </c>
    </row>
    <row r="44" spans="1:72">
      <c r="J44" s="34"/>
      <c r="BR44" s="4" t="s">
        <v>148</v>
      </c>
      <c r="BS44" s="4" t="s">
        <v>149</v>
      </c>
      <c r="BT44" s="4" t="str">
        <f t="shared" si="0"/>
        <v>AAJ</v>
      </c>
    </row>
    <row r="45" spans="1:72">
      <c r="J45" s="34"/>
      <c r="BR45" s="4" t="s">
        <v>79</v>
      </c>
      <c r="BS45" s="4" t="s">
        <v>150</v>
      </c>
      <c r="BT45" s="4" t="str">
        <f t="shared" si="0"/>
        <v>AAK</v>
      </c>
    </row>
    <row r="46" spans="1:72">
      <c r="J46" s="34"/>
      <c r="BR46" s="4" t="s">
        <v>151</v>
      </c>
      <c r="BS46" s="4" t="s">
        <v>152</v>
      </c>
      <c r="BT46" s="4" t="str">
        <f t="shared" si="0"/>
        <v>AAL</v>
      </c>
    </row>
    <row r="47" spans="1:72">
      <c r="J47" s="34"/>
      <c r="BR47" s="4" t="s">
        <v>81</v>
      </c>
      <c r="BS47" s="4" t="s">
        <v>153</v>
      </c>
      <c r="BT47" s="4" t="str">
        <f t="shared" si="0"/>
        <v>AAM</v>
      </c>
    </row>
    <row r="48" spans="1:72">
      <c r="J48" s="34"/>
      <c r="BR48" s="4" t="s">
        <v>154</v>
      </c>
      <c r="BS48" s="4" t="s">
        <v>155</v>
      </c>
      <c r="BT48" s="4" t="str">
        <f t="shared" si="0"/>
        <v>AAN</v>
      </c>
    </row>
    <row r="49" spans="10:72">
      <c r="J49" s="34"/>
      <c r="BR49" s="4" t="s">
        <v>83</v>
      </c>
      <c r="BS49" s="4" t="s">
        <v>156</v>
      </c>
      <c r="BT49" s="4" t="str">
        <f t="shared" si="0"/>
        <v>AAO</v>
      </c>
    </row>
    <row r="50" spans="10:72">
      <c r="BR50" s="4" t="s">
        <v>157</v>
      </c>
      <c r="BS50" s="4" t="s">
        <v>158</v>
      </c>
      <c r="BT50" s="4" t="str">
        <f t="shared" si="0"/>
        <v>AAP</v>
      </c>
    </row>
    <row r="51" spans="10:72">
      <c r="BR51" s="4" t="s">
        <v>85</v>
      </c>
      <c r="BS51" s="4" t="s">
        <v>159</v>
      </c>
      <c r="BT51" s="4" t="str">
        <f t="shared" si="0"/>
        <v>AAQ</v>
      </c>
    </row>
    <row r="52" spans="10:72">
      <c r="BR52" s="4" t="s">
        <v>160</v>
      </c>
      <c r="BS52" s="4" t="s">
        <v>161</v>
      </c>
      <c r="BT52" s="4" t="str">
        <f t="shared" si="0"/>
        <v>AAR</v>
      </c>
    </row>
    <row r="53" spans="10:72">
      <c r="BR53" s="4" t="s">
        <v>87</v>
      </c>
      <c r="BS53" s="4" t="s">
        <v>162</v>
      </c>
      <c r="BT53" s="4" t="str">
        <f t="shared" si="0"/>
        <v>AAS</v>
      </c>
    </row>
    <row r="54" spans="10:72">
      <c r="BR54" s="4" t="s">
        <v>163</v>
      </c>
      <c r="BS54" s="4" t="s">
        <v>164</v>
      </c>
      <c r="BT54" s="4" t="str">
        <f t="shared" si="0"/>
        <v>AAT</v>
      </c>
    </row>
    <row r="55" spans="10:72">
      <c r="BR55" s="4" t="s">
        <v>89</v>
      </c>
      <c r="BS55" s="4" t="s">
        <v>165</v>
      </c>
      <c r="BT55" s="4" t="str">
        <f t="shared" si="0"/>
        <v>AAU</v>
      </c>
    </row>
    <row r="56" spans="10:72">
      <c r="BR56" s="4" t="s">
        <v>166</v>
      </c>
      <c r="BS56" s="4" t="s">
        <v>167</v>
      </c>
      <c r="BT56" s="4" t="str">
        <f t="shared" si="0"/>
        <v>AAV</v>
      </c>
    </row>
    <row r="57" spans="10:72">
      <c r="BR57" s="4" t="s">
        <v>91</v>
      </c>
      <c r="BS57" s="4" t="s">
        <v>168</v>
      </c>
      <c r="BT57" s="4" t="str">
        <f t="shared" si="0"/>
        <v>AAW</v>
      </c>
    </row>
    <row r="58" spans="10:72">
      <c r="BR58" s="4" t="s">
        <v>169</v>
      </c>
      <c r="BS58" s="4" t="s">
        <v>170</v>
      </c>
      <c r="BT58" s="4" t="str">
        <f t="shared" si="0"/>
        <v>AAX</v>
      </c>
    </row>
  </sheetData>
  <phoneticPr fontId="21" type="noConversion"/>
  <conditionalFormatting sqref="D1">
    <cfRule type="containsText" dxfId="3" priority="2" operator="containsText" text=" ">
      <formula>NOT(ISERROR(SEARCH(" ",D1)))</formula>
    </cfRule>
  </conditionalFormatting>
  <conditionalFormatting sqref="A9:A10 J1:J5">
    <cfRule type="containsText" dxfId="2" priority="4" operator="containsText" text=" ">
      <formula>NOT(ISERROR(SEARCH(" ",A1)))</formula>
    </cfRule>
  </conditionalFormatting>
  <conditionalFormatting sqref="A2:C3">
    <cfRule type="containsText" dxfId="1" priority="3" operator="containsText" text=" ">
      <formula>NOT(ISERROR(SEARCH(" ",A2)))</formula>
    </cfRule>
  </conditionalFormatting>
  <conditionalFormatting sqref="A4:C8">
    <cfRule type="containsText" dxfId="0" priority="1" operator="containsText" text=" ">
      <formula>NOT(ISERROR(SEARCH(" ",A4)))</formula>
    </cfRule>
  </conditionalFormatting>
  <hyperlinks>
    <hyperlink ref="F7" r:id="rId1" display="=J4&amp;&quot;index.php/Qwadmin/Rwxy/echosheetname?&quot;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BySheet">
                <anchor moveWithCells="1" sizeWithCells="1">
                  <from>
                    <xdr:col>0</xdr:col>
                    <xdr:colOff>274320</xdr:colOff>
                    <xdr:row>2</xdr:row>
                    <xdr:rowOff>137160</xdr:rowOff>
                  </from>
                  <to>
                    <xdr:col>3</xdr:col>
                    <xdr:colOff>7620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280</vt:i4>
      </vt:variant>
    </vt:vector>
  </HeadingPairs>
  <TitlesOfParts>
    <vt:vector size="285" baseType="lpstr">
      <vt:lpstr>Sheet1</vt:lpstr>
      <vt:lpstr>Sheet2</vt:lpstr>
      <vt:lpstr>姓名查</vt:lpstr>
      <vt:lpstr>工号查</vt:lpstr>
      <vt:lpstr>帮助</vt:lpstr>
      <vt:lpstr>帮助!ExternalData_1</vt:lpstr>
      <vt:lpstr>Sheet1!ExternalData_1_1</vt:lpstr>
      <vt:lpstr>Sheet1!ExternalData_1_3</vt:lpstr>
      <vt:lpstr>Sheet1!ExternalData_1_4</vt:lpstr>
      <vt:lpstr>Sheet1!ExternalData_1_5</vt:lpstr>
      <vt:lpstr>Sheet1!ExternalData_1_6</vt:lpstr>
      <vt:lpstr>Sheet1!ExternalData_1_7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Sheet1!ExternalData_396</vt:lpstr>
      <vt:lpstr>帮助!ExternalData_4</vt:lpstr>
      <vt:lpstr>Sheet1!ExternalData_403</vt:lpstr>
      <vt:lpstr>Sheet1!ExternalData_407</vt:lpstr>
      <vt:lpstr>Sheet1!ExternalData_409</vt:lpstr>
      <vt:lpstr>Sheet1!ExternalData_413</vt:lpstr>
      <vt:lpstr>Sheet1!ExternalData_415</vt:lpstr>
      <vt:lpstr>Sheet1!ExternalData_417</vt:lpstr>
      <vt:lpstr>Sheet1!ExternalData_420</vt:lpstr>
      <vt:lpstr>Sheet1!ExternalData_427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Sheet1!ExternalData_449</vt:lpstr>
      <vt:lpstr>帮助!ExternalData_5</vt:lpstr>
      <vt:lpstr>帮助!ExternalData_6</vt:lpstr>
      <vt:lpstr>Sheet1!ExternalData_618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Sheet1!ExternalData_806</vt:lpstr>
      <vt:lpstr>Sheet1!ExternalData_809</vt:lpstr>
      <vt:lpstr>Sheet1!ExternalData_810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Sheet1!ExternalData_824</vt:lpstr>
      <vt:lpstr>Sheet1!ExternalData_825</vt:lpstr>
      <vt:lpstr>Sheet1!ExternalData_827</vt:lpstr>
      <vt:lpstr>Sheet1!ExternalData_828</vt:lpstr>
      <vt:lpstr>Sheet1!ExternalData_829</vt:lpstr>
      <vt:lpstr>Sheet1!ExternalData_830</vt:lpstr>
      <vt:lpstr>Sheet1!ExternalData_831</vt:lpstr>
      <vt:lpstr>Sheet1!ExternalData_832</vt:lpstr>
      <vt:lpstr>Sheet1!ExternalData_833</vt:lpstr>
      <vt:lpstr>Sheet1!ExternalData_834</vt:lpstr>
      <vt:lpstr>Sheet1!ExternalData_835</vt:lpstr>
      <vt:lpstr>Sheet1!ExternalData_836</vt:lpstr>
      <vt:lpstr>Sheet1!ExternalData_837</vt:lpstr>
      <vt:lpstr>Sheet1!ExternalData_838</vt:lpstr>
      <vt:lpstr>Sheet1!ExternalData_839</vt:lpstr>
      <vt:lpstr>Sheet1!ExternalData_840</vt:lpstr>
      <vt:lpstr>Sheet1!ExternalData_857</vt:lpstr>
      <vt:lpstr>Sheet1!ExternalData_858</vt:lpstr>
      <vt:lpstr>Sheet1!ExternalData_859</vt:lpstr>
      <vt:lpstr>Sheet1!ExternalData_860</vt:lpstr>
      <vt:lpstr>Sheet1!ExternalData_861</vt:lpstr>
      <vt:lpstr>Sheet1!ExternalData_862</vt:lpstr>
      <vt:lpstr>Sheet1!ExternalData_865</vt:lpstr>
      <vt:lpstr>Sheet1!ExternalData_866</vt:lpstr>
      <vt:lpstr>Sheet1!ExternalData_867</vt:lpstr>
      <vt:lpstr>Sheet1!ExternalData_868</vt:lpstr>
      <vt:lpstr>Sheet1!ExternalData_869</vt:lpstr>
      <vt:lpstr>Sheet1!ExternalData_870</vt:lpstr>
      <vt:lpstr>Sheet1!ExternalData_871</vt:lpstr>
      <vt:lpstr>Sheet1!ExternalData_872</vt:lpstr>
      <vt:lpstr>Sheet1!ExternalData_873</vt:lpstr>
      <vt:lpstr>Sheet2!ExternalData_873</vt:lpstr>
      <vt:lpstr>Sheet1!ExternalData_874</vt:lpstr>
      <vt:lpstr>Sheet2!ExternalData_874</vt:lpstr>
      <vt:lpstr>Sheet1!ExternalData_875</vt:lpstr>
      <vt:lpstr>Sheet2!ExternalData_875</vt:lpstr>
      <vt:lpstr>Sheet1!ExternalData_876</vt:lpstr>
      <vt:lpstr>Sheet2!ExternalData_876</vt:lpstr>
      <vt:lpstr>Sheet1!ExternalData_877</vt:lpstr>
      <vt:lpstr>Sheet2!ExternalData_877</vt:lpstr>
      <vt:lpstr>Sheet1!ExternalData_878</vt:lpstr>
      <vt:lpstr>Sheet2!ExternalData_878</vt:lpstr>
      <vt:lpstr>Sheet1!ExternalData_879</vt:lpstr>
      <vt:lpstr>Sheet2!ExternalData_879</vt:lpstr>
      <vt:lpstr>Sheet1!ExternalData_880</vt:lpstr>
      <vt:lpstr>Sheet2!ExternalData_880</vt:lpstr>
      <vt:lpstr>Sheet1!ExternalData_881</vt:lpstr>
      <vt:lpstr>Sheet2!ExternalData_881</vt:lpstr>
      <vt:lpstr>Sheet1!ExternalData_882</vt:lpstr>
      <vt:lpstr>Sheet2!ExternalData_882</vt:lpstr>
      <vt:lpstr>Sheet1!ExternalData_883</vt:lpstr>
      <vt:lpstr>Sheet2!ExternalData_883</vt:lpstr>
      <vt:lpstr>Sheet1!ExternalData_892</vt:lpstr>
      <vt:lpstr>Sheet2!ExternalData_892</vt:lpstr>
      <vt:lpstr>帮助!ExternalData_9</vt:lpstr>
      <vt:lpstr>Sheet1!ExternalData_900</vt:lpstr>
      <vt:lpstr>Sheet2!ExternalData_900</vt:lpstr>
      <vt:lpstr>Sheet1!ExternalData_953</vt:lpstr>
      <vt:lpstr>Sheet2!ExternalData_953</vt:lpstr>
      <vt:lpstr>Sheet1!ExternalData_954</vt:lpstr>
      <vt:lpstr>Sheet2!ExternalData_954</vt:lpstr>
      <vt:lpstr>Sheet1!ExternalData_955</vt:lpstr>
      <vt:lpstr>Sheet2!ExternalData_955</vt:lpstr>
      <vt:lpstr>Sheet1!ExternalData_956</vt:lpstr>
      <vt:lpstr>Sheet2!ExternalData_956</vt:lpstr>
      <vt:lpstr>Sheet1!ExternalData_957</vt:lpstr>
      <vt:lpstr>Sheet1!ExternalData_958</vt:lpstr>
      <vt:lpstr>Sheet1!ExternalData_959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2019-07-18T07:22:42Z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