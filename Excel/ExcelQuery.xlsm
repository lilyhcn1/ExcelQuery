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65"/>
  </bookViews>
  <sheets>
    <sheet name="Sheet1" sheetId="1" r:id="rId1"/>
    <sheet name="工号查" sheetId="2" state="hidden" r:id="rId2"/>
    <sheet name="帮助" sheetId="3" state="hidden" r:id="rId3"/>
    <sheet name="Sheet2" sheetId="4" r:id="rId4"/>
    <sheet name="生成表" sheetId="5" r:id="rId5"/>
  </sheets>
  <definedNames>
    <definedName name="_xlnm._FilterDatabase" localSheetId="0" hidden="1">Sheet1!#REF!</definedName>
    <definedName name="ExternalData_1" localSheetId="0">Sheet1!#REF!</definedName>
    <definedName name="ExternalData_1" localSheetId="2">帮助!$A$11:$K$16</definedName>
    <definedName name="ExternalData_1_1" localSheetId="0">Sheet1!$A$19:$G$20</definedName>
    <definedName name="ExternalData_1_3" localSheetId="0">Sheet1!$A$19:$G$20</definedName>
    <definedName name="ExternalData_1_4" localSheetId="0">Sheet1!$A$19:$H$20</definedName>
    <definedName name="ExternalData_1_5" localSheetId="0">Sheet1!$A$19:$H$20</definedName>
    <definedName name="ExternalData_1_6" localSheetId="0">Sheet1!$A$19:$H$20</definedName>
    <definedName name="ExternalData_1_7" localSheetId="0">Sheet1!$A$19:$H$20</definedName>
    <definedName name="ExternalData_10" localSheetId="2">帮助!$A$11:$A$15</definedName>
    <definedName name="ExternalData_100" localSheetId="0">Sheet1!#REF!</definedName>
    <definedName name="ExternalData_1000" localSheetId="0">Sheet1!$A$19:$I$21</definedName>
    <definedName name="ExternalData_1001" localSheetId="0">Sheet1!$A$19:$I$21</definedName>
    <definedName name="ExternalData_1002" localSheetId="0">Sheet1!$A$19:$H$20</definedName>
    <definedName name="ExternalData_1003" localSheetId="0">Sheet1!$A$19:$I$21</definedName>
    <definedName name="ExternalData_1004" localSheetId="0">Sheet1!$A$19:$I$21</definedName>
    <definedName name="ExternalData_1005" localSheetId="0">Sheet1!$A$19:$I$21</definedName>
    <definedName name="ExternalData_1006" localSheetId="0">Sheet1!$A$19:$I$21</definedName>
    <definedName name="ExternalData_1007" localSheetId="0">Sheet1!$A$19:$I$21</definedName>
    <definedName name="ExternalData_1008" localSheetId="0">Sheet1!$A$19:$I$21</definedName>
    <definedName name="ExternalData_1009" localSheetId="0">Sheet1!$A$19:$I$21</definedName>
    <definedName name="ExternalData_1010" localSheetId="0">Sheet1!$A$19:$I$21</definedName>
    <definedName name="ExternalData_1011" localSheetId="0">Sheet1!$A$19:$I$21</definedName>
    <definedName name="ExternalData_1012" localSheetId="0">Sheet1!$A$19:$L$21</definedName>
    <definedName name="ExternalData_1013" localSheetId="0">Sheet1!$A$19:$L$22</definedName>
    <definedName name="ExternalData_1014" localSheetId="0">Sheet1!$A$19:$L$22</definedName>
    <definedName name="ExternalData_1015" localSheetId="0">Sheet1!$A$19:$AB$22</definedName>
    <definedName name="ExternalData_1016" localSheetId="0">Sheet1!$A$19:$P$22</definedName>
    <definedName name="ExternalData_1017" localSheetId="0">Sheet1!$A$19:$P$22</definedName>
    <definedName name="ExternalData_1018" localSheetId="0">Sheet1!$A$19:$P$22</definedName>
    <definedName name="ExternalData_1019" localSheetId="0">Sheet1!$A$19:$Q$22</definedName>
    <definedName name="ExternalData_1020" localSheetId="0">Sheet1!$A$19:$Q$22</definedName>
    <definedName name="ExternalData_1021" localSheetId="0">Sheet1!$A$19:$R$22</definedName>
    <definedName name="ExternalData_1022" localSheetId="0">Sheet1!$A$19:$R$23</definedName>
    <definedName name="ExternalData_1023" localSheetId="0">Sheet1!$A$19:$R$23</definedName>
    <definedName name="ExternalData_1024" localSheetId="0">Sheet1!$A$19:$R$23</definedName>
    <definedName name="ExternalData_1025" localSheetId="0">Sheet1!$A$19:$R$23</definedName>
    <definedName name="ExternalData_1026" localSheetId="0">Sheet1!$A$19:$R$23</definedName>
    <definedName name="ExternalData_1027" localSheetId="0">Sheet1!$A$19:$R$23</definedName>
    <definedName name="ExternalData_1028" localSheetId="0">Sheet1!$A$19:$S$23</definedName>
    <definedName name="ExternalData_1029" localSheetId="0">Sheet1!$A$19:$S$23</definedName>
    <definedName name="ExternalData_103" localSheetId="0">Sheet1!#REF!</definedName>
    <definedName name="ExternalData_1030" localSheetId="0">Sheet1!$A$19:$S$23</definedName>
    <definedName name="ExternalData_1031" localSheetId="0">Sheet1!$A$19:$S$23</definedName>
    <definedName name="ExternalData_1032" localSheetId="0">Sheet1!$A$19:$S$23</definedName>
    <definedName name="ExternalData_1033" localSheetId="0">Sheet1!$A$19:$S$23</definedName>
    <definedName name="ExternalData_1034" localSheetId="0">Sheet1!$A$19:$S$23</definedName>
    <definedName name="ExternalData_1035" localSheetId="0">Sheet1!$A$19:$S$23</definedName>
    <definedName name="ExternalData_1036" localSheetId="0">Sheet1!$A$19:$V$23</definedName>
    <definedName name="ExternalData_1037" localSheetId="0">Sheet1!$A$19:$V$23</definedName>
    <definedName name="ExternalData_1038" localSheetId="0">Sheet1!$A$19:$V$23</definedName>
    <definedName name="ExternalData_1039" localSheetId="0">Sheet1!$A$19:$V$23</definedName>
    <definedName name="ExternalData_104" localSheetId="0">Sheet1!#REF!</definedName>
    <definedName name="ExternalData_1040" localSheetId="0">Sheet1!$A$19:$V$23</definedName>
    <definedName name="ExternalData_1041" localSheetId="0">Sheet1!$A$19:$V$23</definedName>
    <definedName name="ExternalData_1042" localSheetId="0">Sheet1!$A$19:$V$23</definedName>
    <definedName name="ExternalData_1043" localSheetId="0">Sheet1!$A$19:$V$23</definedName>
    <definedName name="ExternalData_1044" localSheetId="0">Sheet1!$A$19:$V$23</definedName>
    <definedName name="ExternalData_1045" localSheetId="0">Sheet1!$A$19:$V$23</definedName>
    <definedName name="ExternalData_1046" localSheetId="0">Sheet1!$A$19:$V$23</definedName>
    <definedName name="ExternalData_1047" localSheetId="0">Sheet1!$A$19:$V$23</definedName>
    <definedName name="ExternalData_1048" localSheetId="0">Sheet1!$A$19:$V$28</definedName>
    <definedName name="ExternalData_1049" localSheetId="0">Sheet1!$A$19:$V$28</definedName>
    <definedName name="ExternalData_105" localSheetId="0">Sheet1!#REF!</definedName>
    <definedName name="ExternalData_1050" localSheetId="0">Sheet1!$A$19:$V$28</definedName>
    <definedName name="ExternalData_1051" localSheetId="0">Sheet1!$A$19:$V$28</definedName>
    <definedName name="ExternalData_1052" localSheetId="0">Sheet1!$A$19:$V$28</definedName>
    <definedName name="ExternalData_1053" localSheetId="0">Sheet1!$A$19:$W$28</definedName>
    <definedName name="ExternalData_1054" localSheetId="0">Sheet1!$A$19:$W$28</definedName>
    <definedName name="ExternalData_1055" localSheetId="0">Sheet1!$A$19:$W$28</definedName>
    <definedName name="ExternalData_1056" localSheetId="0">Sheet1!$A$19:$W$28</definedName>
    <definedName name="ExternalData_1057" localSheetId="0">Sheet1!$A$19:$W$28</definedName>
    <definedName name="ExternalData_1058" localSheetId="0">Sheet1!$A$19:$W$28</definedName>
    <definedName name="ExternalData_1059" localSheetId="0">Sheet1!$A$19:$W$28</definedName>
    <definedName name="ExternalData_106" localSheetId="0">Sheet1!#REF!</definedName>
    <definedName name="ExternalData_1060" localSheetId="0">Sheet1!$A$19:$W$28</definedName>
    <definedName name="ExternalData_1061" localSheetId="0">Sheet1!$A$19:$W$28</definedName>
    <definedName name="ExternalData_1062" localSheetId="0">Sheet1!$A$19:$W$28</definedName>
    <definedName name="ExternalData_1063" localSheetId="0">Sheet1!$A$19:$W$28</definedName>
    <definedName name="ExternalData_1064" localSheetId="0">Sheet1!$A$19:$W$28</definedName>
    <definedName name="ExternalData_1065" localSheetId="0">Sheet1!$A$19:$W$28</definedName>
    <definedName name="ExternalData_1066" localSheetId="0">Sheet1!$A$19:$W$28</definedName>
    <definedName name="ExternalData_1067" localSheetId="0">Sheet1!$A$19:$W$28</definedName>
    <definedName name="ExternalData_1068" localSheetId="0">Sheet1!$A$19:$W$28</definedName>
    <definedName name="ExternalData_1069" localSheetId="0">Sheet1!$A$19:$W$28</definedName>
    <definedName name="ExternalData_107" localSheetId="0">Sheet1!#REF!</definedName>
    <definedName name="ExternalData_1070" localSheetId="0">Sheet1!$A$19:$W$28</definedName>
    <definedName name="ExternalData_1071" localSheetId="0">Sheet1!$A$19:$W$28</definedName>
    <definedName name="ExternalData_1072" localSheetId="0">Sheet1!$A$19:$W$28</definedName>
    <definedName name="ExternalData_1073" localSheetId="0">Sheet1!$A$19:$W$28</definedName>
    <definedName name="ExternalData_1074" localSheetId="0">Sheet1!$A$19:$W$28</definedName>
    <definedName name="ExternalData_1075" localSheetId="0">Sheet1!$A$19:$W$28</definedName>
    <definedName name="ExternalData_1076" localSheetId="0">Sheet1!$A$19:$W$28</definedName>
    <definedName name="ExternalData_1077" localSheetId="0">Sheet1!$A$19:$W$28</definedName>
    <definedName name="ExternalData_1078" localSheetId="0">Sheet1!$A$19:$W$28</definedName>
    <definedName name="ExternalData_1079" localSheetId="0">Sheet1!$A$19:$W$28</definedName>
    <definedName name="ExternalData_108" localSheetId="0">Sheet1!#REF!</definedName>
    <definedName name="ExternalData_1080" localSheetId="0">Sheet1!$A$19:$W$28</definedName>
    <definedName name="ExternalData_1081" localSheetId="0">Sheet1!$A$19:$W$28</definedName>
    <definedName name="ExternalData_1082" localSheetId="0">Sheet1!$A$19:$W$28</definedName>
    <definedName name="ExternalData_1083" localSheetId="0">Sheet1!$A$19:$W$28</definedName>
    <definedName name="ExternalData_1084" localSheetId="0">Sheet1!$A$19:$W$28</definedName>
    <definedName name="ExternalData_1085" localSheetId="0">Sheet1!$A$19:$W$28</definedName>
    <definedName name="ExternalData_1086" localSheetId="0">Sheet1!$A$19:$W$28</definedName>
    <definedName name="ExternalData_1087" localSheetId="0">Sheet1!$A$19:$W$28</definedName>
    <definedName name="ExternalData_1088" localSheetId="0">Sheet1!$A$19:$W$28</definedName>
    <definedName name="ExternalData_1089" localSheetId="0">Sheet1!$A$19:$W$28</definedName>
    <definedName name="ExternalData_109" localSheetId="0">Sheet1!#REF!</definedName>
    <definedName name="ExternalData_1090" localSheetId="0">Sheet1!$A$19:$W$28</definedName>
    <definedName name="ExternalData_1091" localSheetId="0">Sheet1!$A$19:$W$28</definedName>
    <definedName name="ExternalData_1092" localSheetId="0">Sheet1!$A$19:$W$28</definedName>
    <definedName name="ExternalData_1093" localSheetId="0">Sheet1!$A$19:$W$28</definedName>
    <definedName name="ExternalData_1094" localSheetId="0">Sheet1!$A$19:$W$28</definedName>
    <definedName name="ExternalData_1095" localSheetId="0">Sheet1!$A$19:$W$28</definedName>
    <definedName name="ExternalData_1096" localSheetId="0">Sheet1!$A$19:$W$28</definedName>
    <definedName name="ExternalData_1097" localSheetId="0">Sheet1!$A$19:$W$28</definedName>
    <definedName name="ExternalData_1098" localSheetId="0">Sheet1!$A$19:$W$28</definedName>
    <definedName name="ExternalData_1099" localSheetId="0">Sheet1!$A$19:$W$28</definedName>
    <definedName name="ExternalData_11" localSheetId="2">帮助!$A$11:$A$15</definedName>
    <definedName name="ExternalData_110" localSheetId="0">Sheet1!#REF!</definedName>
    <definedName name="ExternalData_1100" localSheetId="0">Sheet1!$A$19:$W$28</definedName>
    <definedName name="ExternalData_1101" localSheetId="0">Sheet1!$A$19:$W$28</definedName>
    <definedName name="ExternalData_1102" localSheetId="0">Sheet1!$A$19:$W$28</definedName>
    <definedName name="ExternalData_1103" localSheetId="0">Sheet1!$A$19:$W$28</definedName>
    <definedName name="ExternalData_1104" localSheetId="0">Sheet1!$A$19:$W$28</definedName>
    <definedName name="ExternalData_1105" localSheetId="0">Sheet1!$A$19:$W$28</definedName>
    <definedName name="ExternalData_1106" localSheetId="0">Sheet1!$A$19:$W$28</definedName>
    <definedName name="ExternalData_1107" localSheetId="0">Sheet1!$A$19:$W$28</definedName>
    <definedName name="ExternalData_1108" localSheetId="0">Sheet1!$A$19:$W$28</definedName>
    <definedName name="ExternalData_1109" localSheetId="0">Sheet1!$A$19:$W$28</definedName>
    <definedName name="ExternalData_111" localSheetId="0">Sheet1!#REF!</definedName>
    <definedName name="ExternalData_1110" localSheetId="0">Sheet1!$A$19:$W$28</definedName>
    <definedName name="ExternalData_1111" localSheetId="0">Sheet1!$A$19:$W$28</definedName>
    <definedName name="ExternalData_1112" localSheetId="0">Sheet1!$A$19:$W$28</definedName>
    <definedName name="ExternalData_1113" localSheetId="0">Sheet1!$A$19:$W$28</definedName>
    <definedName name="ExternalData_1114" localSheetId="0">Sheet1!$A$19:$W$28</definedName>
    <definedName name="ExternalData_1115" localSheetId="0">Sheet1!$A$19:$W$28</definedName>
    <definedName name="ExternalData_1116" localSheetId="0">Sheet1!$A$19:$W$28</definedName>
    <definedName name="ExternalData_1117" localSheetId="0">Sheet1!$A$19:$W$28</definedName>
    <definedName name="ExternalData_1118" localSheetId="0">Sheet1!$A$19:$W$28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2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2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" localSheetId="2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2">帮助!$A$11:$A$12</definedName>
    <definedName name="ExternalData_20" localSheetId="2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2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2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2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" localSheetId="2">帮助!$A$11:$A$19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2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2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2">帮助!$A$11:$A$15</definedName>
    <definedName name="ExternalData_28" localSheetId="2">帮助!$A$11:$A$12</definedName>
    <definedName name="ExternalData_29" localSheetId="2">帮助!$A$9:$A$11</definedName>
    <definedName name="ExternalData_3" localSheetId="2">帮助!$A$11:$K$12</definedName>
    <definedName name="ExternalData_30" localSheetId="2">帮助!$A$9:$A$12</definedName>
    <definedName name="ExternalData_31" localSheetId="2">帮助!$A$9:$A$19</definedName>
    <definedName name="ExternalData_32" localSheetId="2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Sheet1!$A$19:$AO$19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6" localSheetId="0">Sheet1!#REF!</definedName>
    <definedName name="ExternalData_377" localSheetId="0">Sheet1!$A$19:$AO$19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Sheet1!$A$19:$AO$19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Sheet1!$A$19:$AO$19</definedName>
    <definedName name="ExternalData_386" localSheetId="0">Sheet1!#REF!</definedName>
    <definedName name="ExternalData_387" localSheetId="0">Sheet1!#REF!</definedName>
    <definedName name="ExternalData_388" localSheetId="0">Sheet1!$A$19:$AO$19</definedName>
    <definedName name="ExternalData_389" localSheetId="0">Sheet1!$A$19:$AO$19</definedName>
    <definedName name="ExternalData_391" localSheetId="0">Sheet1!#REF!</definedName>
    <definedName name="ExternalData_392" localSheetId="0">Sheet1!#REF!</definedName>
    <definedName name="ExternalData_394" localSheetId="0">Sheet1!#REF!</definedName>
    <definedName name="ExternalData_395" localSheetId="0">Sheet1!#REF!</definedName>
    <definedName name="ExternalData_396" localSheetId="0">Sheet1!$A$19:$AO$19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2">帮助!$A$11:$B$12</definedName>
    <definedName name="ExternalData_400" localSheetId="0">Sheet1!#REF!</definedName>
    <definedName name="ExternalData_402" localSheetId="0">Sheet1!#REF!</definedName>
    <definedName name="ExternalData_403" localSheetId="0">Sheet1!$A$19:$AO$19</definedName>
    <definedName name="ExternalData_404" localSheetId="0">Sheet1!#REF!</definedName>
    <definedName name="ExternalData_405" localSheetId="0">Sheet1!#REF!</definedName>
    <definedName name="ExternalData_407" localSheetId="0">Sheet1!$A$19:$AO$19</definedName>
    <definedName name="ExternalData_408" localSheetId="0">Sheet1!#REF!</definedName>
    <definedName name="ExternalData_409" localSheetId="0">Sheet1!$A$19:$AO$19</definedName>
    <definedName name="ExternalData_411" localSheetId="0">Sheet1!#REF!</definedName>
    <definedName name="ExternalData_412" localSheetId="0">Sheet1!#REF!</definedName>
    <definedName name="ExternalData_413" localSheetId="0">Sheet1!$A$19:$AO$19</definedName>
    <definedName name="ExternalData_415" localSheetId="0">Sheet1!$A$19:$AO$19</definedName>
    <definedName name="ExternalData_417" localSheetId="0">Sheet1!$A$19:$AO$19</definedName>
    <definedName name="ExternalData_419" localSheetId="0">Sheet1!#REF!</definedName>
    <definedName name="ExternalData_420" localSheetId="0">Sheet1!$A$19:$AO$19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7" localSheetId="0">Sheet1!$A$19:$AO$19</definedName>
    <definedName name="ExternalData_430" localSheetId="0">Sheet1!#REF!</definedName>
    <definedName name="ExternalData_432" localSheetId="0">Sheet1!$A$19:$AO$19</definedName>
    <definedName name="ExternalData_433" localSheetId="0">Sheet1!#REF!</definedName>
    <definedName name="ExternalData_434" localSheetId="0">Sheet1!#REF!</definedName>
    <definedName name="ExternalData_435" localSheetId="0">Sheet1!$A$19:$AO$19</definedName>
    <definedName name="ExternalData_436" localSheetId="0">Sheet1!#REF!</definedName>
    <definedName name="ExternalData_437" localSheetId="0">Sheet1!$A$19:$AO$19</definedName>
    <definedName name="ExternalData_438" localSheetId="0">Sheet1!$A$19:$AO$19</definedName>
    <definedName name="ExternalData_439" localSheetId="0">Sheet1!#REF!</definedName>
    <definedName name="ExternalData_440" localSheetId="0">Sheet1!$A$19:$AO$19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Sheet1!$A$19:$AO$19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4" localSheetId="0">Sheet1!#REF!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" localSheetId="2">帮助!$A$11:$B$13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30" localSheetId="0">Sheet1!#REF!</definedName>
    <definedName name="ExternalData_6" localSheetId="2">帮助!$A$11:$B$13</definedName>
    <definedName name="ExternalData_618" localSheetId="0">Sheet1!$A$19:$AV$20</definedName>
    <definedName name="ExternalData_620" localSheetId="0">Sheet1!$A$19:$AV$20</definedName>
    <definedName name="ExternalData_621" localSheetId="0">Sheet1!$A$19:$AV$20</definedName>
    <definedName name="ExternalData_622" localSheetId="0">Sheet1!$A$19:$AV$20</definedName>
    <definedName name="ExternalData_623" localSheetId="0">Sheet1!$A$19:$AV$20</definedName>
    <definedName name="ExternalData_624" localSheetId="0">Sheet1!$A$19:$AV$20</definedName>
    <definedName name="ExternalData_626" localSheetId="0">Sheet1!$A$19:$AV$20</definedName>
    <definedName name="ExternalData_627" localSheetId="0">Sheet1!$A$19:$AW$20</definedName>
    <definedName name="ExternalData_628" localSheetId="0">Sheet1!$A$19:$AV$20</definedName>
    <definedName name="ExternalData_629" localSheetId="0">Sheet1!$A$19:$BG$20</definedName>
    <definedName name="ExternalData_630" localSheetId="0">Sheet1!$A$19:$AV$20</definedName>
    <definedName name="ExternalData_631" localSheetId="0">Sheet1!$A$19:$AV$20</definedName>
    <definedName name="ExternalData_632" localSheetId="0">Sheet1!$A$19:$AV$20</definedName>
    <definedName name="ExternalData_633" localSheetId="0">Sheet1!$A$19:$AV$20</definedName>
    <definedName name="ExternalData_634" localSheetId="0">Sheet1!$A$19:$AV$20</definedName>
    <definedName name="ExternalData_635" localSheetId="0">Sheet1!$A$19:$AV$20</definedName>
    <definedName name="ExternalData_636" localSheetId="0">Sheet1!$A$19:$AV$20</definedName>
    <definedName name="ExternalData_637" localSheetId="0">Sheet1!$A$19:$AV$20</definedName>
    <definedName name="ExternalData_638" localSheetId="0">Sheet1!$A$19:$AV$20</definedName>
    <definedName name="ExternalData_639" localSheetId="0">Sheet1!$A$19:$AV$20</definedName>
    <definedName name="ExternalData_640" localSheetId="0">Sheet1!$A$19:$AV$20</definedName>
    <definedName name="ExternalData_641" localSheetId="0">Sheet1!$A$19:$AV$20</definedName>
    <definedName name="ExternalData_642" localSheetId="0">Sheet1!$A$19:$AV$20</definedName>
    <definedName name="ExternalData_643" localSheetId="0">Sheet1!$A$19:$AV$20</definedName>
    <definedName name="ExternalData_644" localSheetId="0">Sheet1!$A$19:$AV$20</definedName>
    <definedName name="ExternalData_645" localSheetId="0">Sheet1!$A$19:$AV$20</definedName>
    <definedName name="ExternalData_646" localSheetId="0">Sheet1!$A$19:$AV$20</definedName>
    <definedName name="ExternalData_647" localSheetId="0">Sheet1!$A$19:$AV$20</definedName>
    <definedName name="ExternalData_648" localSheetId="0">Sheet1!$A$19:$AV$20</definedName>
    <definedName name="ExternalData_649" localSheetId="0">Sheet1!$A$19:$AV$20</definedName>
    <definedName name="ExternalData_650" localSheetId="0">Sheet1!$A$19:$AV$20</definedName>
    <definedName name="ExternalData_651" localSheetId="0">Sheet1!$A$19:$AV$20</definedName>
    <definedName name="ExternalData_652" localSheetId="0">Sheet1!$A$19:$AV$20</definedName>
    <definedName name="ExternalData_653" localSheetId="0">Sheet1!$A$19:$AV$20</definedName>
    <definedName name="ExternalData_654" localSheetId="0">Sheet1!$A$19:$AV$20</definedName>
    <definedName name="ExternalData_655" localSheetId="0">Sheet1!$A$19:$AV$20</definedName>
    <definedName name="ExternalData_656" localSheetId="0">Sheet1!$A$19:$AV$20</definedName>
    <definedName name="ExternalData_657" localSheetId="0">Sheet1!$A$19:$AV$20</definedName>
    <definedName name="ExternalData_658" localSheetId="0">Sheet1!$A$19:$AV$20</definedName>
    <definedName name="ExternalData_659" localSheetId="0">Sheet1!$A$19:$AV$20</definedName>
    <definedName name="ExternalData_660" localSheetId="0">Sheet1!$A$19:$AV$20</definedName>
    <definedName name="ExternalData_661" localSheetId="0">Sheet1!$A$19:$AV$20</definedName>
    <definedName name="ExternalData_662" localSheetId="0">Sheet1!$A$19:$AV$20</definedName>
    <definedName name="ExternalData_663" localSheetId="0">Sheet1!$A$19:$AV$20</definedName>
    <definedName name="ExternalData_668" localSheetId="0">Sheet1!$A$19:$AV$20</definedName>
    <definedName name="ExternalData_669" localSheetId="0">Sheet1!$A$19:$AV$20</definedName>
    <definedName name="ExternalData_670" localSheetId="0">Sheet1!$A$19:$AV$20</definedName>
    <definedName name="ExternalData_671" localSheetId="0">Sheet1!$A$19:$AV$20</definedName>
    <definedName name="ExternalData_672" localSheetId="0">Sheet1!$A$19:$AV$20</definedName>
    <definedName name="ExternalData_673" localSheetId="0">Sheet1!$A$19:$AV$20</definedName>
    <definedName name="ExternalData_674" localSheetId="0">Sheet1!$A$19:$AV$20</definedName>
    <definedName name="ExternalData_675" localSheetId="0">Sheet1!$A$19:$AV$20</definedName>
    <definedName name="ExternalData_677" localSheetId="0">Sheet1!$A$19:$AV$20</definedName>
    <definedName name="ExternalData_682" localSheetId="0">Sheet1!$A$19:$AV$20</definedName>
    <definedName name="ExternalData_686" localSheetId="0">Sheet1!$A$19:$AV$20</definedName>
    <definedName name="ExternalData_692" localSheetId="0">Sheet1!$A$19:$AV$20</definedName>
    <definedName name="ExternalData_693" localSheetId="0">Sheet1!$A$19:$AV$20</definedName>
    <definedName name="ExternalData_694" localSheetId="0">Sheet1!$A$19:$AV$20</definedName>
    <definedName name="ExternalData_695" localSheetId="0">Sheet1!$A$19:$AV$20</definedName>
    <definedName name="ExternalData_696" localSheetId="0">Sheet1!$A$19:$AV$20</definedName>
    <definedName name="ExternalData_697" localSheetId="0">Sheet1!$A$19:$AV$20</definedName>
    <definedName name="ExternalData_699" localSheetId="0">Sheet1!$A$19:$AV$20</definedName>
    <definedName name="ExternalData_7" localSheetId="2">帮助!$A$11:$A$12</definedName>
    <definedName name="ExternalData_700" localSheetId="0">Sheet1!$A$19:$AV$20</definedName>
    <definedName name="ExternalData_701" localSheetId="0">Sheet1!$A$19:$AV$20</definedName>
    <definedName name="ExternalData_702" localSheetId="0">Sheet1!$A$19:$AV$20</definedName>
    <definedName name="ExternalData_703" localSheetId="0">Sheet1!$A$19:$AV$20</definedName>
    <definedName name="ExternalData_704" localSheetId="0">Sheet1!$A$19:$AV$20</definedName>
    <definedName name="ExternalData_705" localSheetId="0">Sheet1!$A$19:$AV$20</definedName>
    <definedName name="ExternalData_706" localSheetId="0">Sheet1!$A$19:$AV$20</definedName>
    <definedName name="ExternalData_707" localSheetId="0">Sheet1!$A$19:$AV$20</definedName>
    <definedName name="ExternalData_708" localSheetId="0">Sheet1!$A$19:$AV$20</definedName>
    <definedName name="ExternalData_710" localSheetId="0">Sheet1!$A$19:$AV$20</definedName>
    <definedName name="ExternalData_711" localSheetId="0">Sheet1!$A$19:$AV$20</definedName>
    <definedName name="ExternalData_712" localSheetId="0">Sheet1!$A$19:$AV$20</definedName>
    <definedName name="ExternalData_715" localSheetId="0">Sheet1!$A$19:$AV$20</definedName>
    <definedName name="ExternalData_716" localSheetId="0">Sheet1!$A$19:$AV$21</definedName>
    <definedName name="ExternalData_717" localSheetId="0">Sheet1!$A$19:$AV$21</definedName>
    <definedName name="ExternalData_718" localSheetId="0">Sheet1!#REF!</definedName>
    <definedName name="ExternalData_719" localSheetId="0">Sheet1!$A$19:$AV$21</definedName>
    <definedName name="ExternalData_720" localSheetId="0">Sheet1!$A$19:$AV$21</definedName>
    <definedName name="ExternalData_721" localSheetId="0">Sheet1!$A$19:$AV$21</definedName>
    <definedName name="ExternalData_722" localSheetId="0">Sheet1!$A$19:$AV$21</definedName>
    <definedName name="ExternalData_723" localSheetId="0">Sheet1!$A$19:$AV$21</definedName>
    <definedName name="ExternalData_724" localSheetId="0">Sheet1!$A$19:$AV$21</definedName>
    <definedName name="ExternalData_725" localSheetId="0">Sheet1!$A$19:$AV$21</definedName>
    <definedName name="ExternalData_726" localSheetId="0">Sheet1!$A$19:$AV$21</definedName>
    <definedName name="ExternalData_727" localSheetId="0">Sheet1!$A$19:$AV$21</definedName>
    <definedName name="ExternalData_728" localSheetId="0">Sheet1!$A$19:$AV$21</definedName>
    <definedName name="ExternalData_730" localSheetId="0">Sheet1!$A$19:$AV$21</definedName>
    <definedName name="ExternalData_731" localSheetId="0">Sheet1!$A$19:$AV$21</definedName>
    <definedName name="ExternalData_732" localSheetId="0">Sheet1!$A$19:$AV$21</definedName>
    <definedName name="ExternalData_735" localSheetId="0">Sheet1!$A$19:$AV$21</definedName>
    <definedName name="ExternalData_736" localSheetId="0">Sheet1!$A$19:$AV$21</definedName>
    <definedName name="ExternalData_737" localSheetId="0">Sheet1!$A$19:$AV$21</definedName>
    <definedName name="ExternalData_738" localSheetId="0">Sheet1!$A$19:$AV$21</definedName>
    <definedName name="ExternalData_739" localSheetId="0">Sheet1!$A$19:$AV$21</definedName>
    <definedName name="ExternalData_740" localSheetId="0">Sheet1!$A$19:$AV$21</definedName>
    <definedName name="ExternalData_741" localSheetId="0">Sheet1!$A$19:$AV$21</definedName>
    <definedName name="ExternalData_742" localSheetId="0">Sheet1!$A$19:$AV$21</definedName>
    <definedName name="ExternalData_743" localSheetId="0">Sheet1!$A$19:$AV$21</definedName>
    <definedName name="ExternalData_744" localSheetId="0">Sheet1!$A$19:$AV$21</definedName>
    <definedName name="ExternalData_745" localSheetId="0">Sheet1!$A$19:$AV$21</definedName>
    <definedName name="ExternalData_746" localSheetId="0">Sheet1!$A$19:$AV$21</definedName>
    <definedName name="ExternalData_747" localSheetId="0">Sheet1!$A$19:$AV$21</definedName>
    <definedName name="ExternalData_748" localSheetId="0">Sheet1!$A$19:$AV$21</definedName>
    <definedName name="ExternalData_749" localSheetId="0">Sheet1!$A$19:$AV$21</definedName>
    <definedName name="ExternalData_753" localSheetId="0">Sheet1!$A$19:$AV$21</definedName>
    <definedName name="ExternalData_754" localSheetId="0">Sheet1!$A$19:$AV$21</definedName>
    <definedName name="ExternalData_756" localSheetId="0">Sheet1!$A$19:$AV$21</definedName>
    <definedName name="ExternalData_759" localSheetId="0">Sheet1!$A$19:$AV$21</definedName>
    <definedName name="ExternalData_760" localSheetId="0">Sheet1!$A$19:$AV$21</definedName>
    <definedName name="ExternalData_761" localSheetId="0">Sheet1!$A$19:$AV$21</definedName>
    <definedName name="ExternalData_762" localSheetId="0">Sheet1!$A$19:$AV$21</definedName>
    <definedName name="ExternalData_766" localSheetId="0">Sheet1!$A$19:$AV$21</definedName>
    <definedName name="ExternalData_767" localSheetId="0">Sheet1!$A$19:$AV$21</definedName>
    <definedName name="ExternalData_770" localSheetId="0">Sheet1!$A$19:$AV$21</definedName>
    <definedName name="ExternalData_771" localSheetId="0">Sheet1!$A$19:$AV$21</definedName>
    <definedName name="ExternalData_772" localSheetId="0">Sheet1!$A$19:$AV$21</definedName>
    <definedName name="ExternalData_773" localSheetId="0">Sheet1!$A$19:$AV$21</definedName>
    <definedName name="ExternalData_774" localSheetId="0">Sheet1!$A$19:$AV$21</definedName>
    <definedName name="ExternalData_775" localSheetId="0">Sheet1!$A$19:$AV$21</definedName>
    <definedName name="ExternalData_776" localSheetId="0">Sheet1!$A$19:$AV$21</definedName>
    <definedName name="ExternalData_777" localSheetId="0">Sheet1!$A$19:$AV$21</definedName>
    <definedName name="ExternalData_778" localSheetId="0">Sheet1!$A$19:$AV$21</definedName>
    <definedName name="ExternalData_779" localSheetId="0">Sheet1!$A$19:$BG$21</definedName>
    <definedName name="ExternalData_780" localSheetId="0">Sheet1!$A$19:$G$20</definedName>
    <definedName name="ExternalData_781" localSheetId="0">Sheet1!$A$19:$G$20</definedName>
    <definedName name="ExternalData_782" localSheetId="0">Sheet1!$A$19:$G$20</definedName>
    <definedName name="ExternalData_783" localSheetId="0">Sheet1!$A$19:$G$20</definedName>
    <definedName name="ExternalData_784" localSheetId="0">Sheet1!$A$19:$G$20</definedName>
    <definedName name="ExternalData_785" localSheetId="0">Sheet1!$A$19:$G$20</definedName>
    <definedName name="ExternalData_786" localSheetId="0">Sheet1!$A$19:$G$20</definedName>
    <definedName name="ExternalData_787" localSheetId="0">Sheet1!$A$19:$G$20</definedName>
    <definedName name="ExternalData_788" localSheetId="0">Sheet1!$A$19:$G$20</definedName>
    <definedName name="ExternalData_789" localSheetId="0">Sheet1!$A$19:$G$20</definedName>
    <definedName name="ExternalData_790" localSheetId="0">Sheet1!$A$19:$G$20</definedName>
    <definedName name="ExternalData_791" localSheetId="0">Sheet1!$A$19:$G$20</definedName>
    <definedName name="ExternalData_793" localSheetId="0">Sheet1!$A$19:$G$20</definedName>
    <definedName name="ExternalData_794" localSheetId="0">Sheet1!$A$19:$G$20</definedName>
    <definedName name="ExternalData_795" localSheetId="0">Sheet1!$A$19:$G$20</definedName>
    <definedName name="ExternalData_796" localSheetId="0">Sheet1!$A$19:$G$20</definedName>
    <definedName name="ExternalData_797" localSheetId="0">Sheet1!$A$19:$G$20</definedName>
    <definedName name="ExternalData_798" localSheetId="0">Sheet1!$A$19:$G$20</definedName>
    <definedName name="ExternalData_799" localSheetId="0">Sheet1!$A$19:$G$20</definedName>
    <definedName name="ExternalData_8" localSheetId="2">帮助!$A$11:$A$15</definedName>
    <definedName name="ExternalData_800" localSheetId="0">Sheet1!$A$19:$G$20</definedName>
    <definedName name="ExternalData_801" localSheetId="0">Sheet1!$A$19:$G$20</definedName>
    <definedName name="ExternalData_802" localSheetId="0">Sheet1!$A$19:$G$20</definedName>
    <definedName name="ExternalData_803" localSheetId="0">Sheet1!$A$19:$G$20</definedName>
    <definedName name="ExternalData_804" localSheetId="0">Sheet1!$A$19:$G$20</definedName>
    <definedName name="ExternalData_805" localSheetId="0">Sheet1!#REF!</definedName>
    <definedName name="ExternalData_806" localSheetId="0">Sheet1!$A$19:$G$20</definedName>
    <definedName name="ExternalData_807" localSheetId="0">Sheet1!#REF!</definedName>
    <definedName name="ExternalData_808" localSheetId="0">Sheet1!#REF!</definedName>
    <definedName name="ExternalData_809" localSheetId="0">Sheet1!$A$19:$G$20</definedName>
    <definedName name="ExternalData_810" localSheetId="0">Sheet1!$A$19:$G$20</definedName>
    <definedName name="ExternalData_811" localSheetId="0">Sheet1!#REF!</definedName>
    <definedName name="ExternalData_812" localSheetId="0">Sheet1!$A$19:$G$20</definedName>
    <definedName name="ExternalData_813" localSheetId="0">Sheet1!$A$19:$G$20</definedName>
    <definedName name="ExternalData_814" localSheetId="0">Sheet1!$A$19:$G$20</definedName>
    <definedName name="ExternalData_815" localSheetId="0">Sheet1!$A$19:$G$20</definedName>
    <definedName name="ExternalData_816" localSheetId="0">Sheet1!$A$19:$G$20</definedName>
    <definedName name="ExternalData_817" localSheetId="0">Sheet1!$A$19:$G$20</definedName>
    <definedName name="ExternalData_818" localSheetId="0">Sheet1!$A$19:$G$20</definedName>
    <definedName name="ExternalData_819" localSheetId="0">Sheet1!$A$19:$G$20</definedName>
    <definedName name="ExternalData_820" localSheetId="0">Sheet1!$A$19:$G$20</definedName>
    <definedName name="ExternalData_821" localSheetId="0">Sheet1!$A$19:$G$20</definedName>
    <definedName name="ExternalData_822" localSheetId="0">Sheet1!$A$19:$G$20</definedName>
    <definedName name="ExternalData_823" localSheetId="0">Sheet1!$A$19:$G$20</definedName>
    <definedName name="ExternalData_824" localSheetId="0">Sheet1!$A$19:$H$21</definedName>
    <definedName name="ExternalData_825" localSheetId="0">Sheet1!$A$19:$G$20</definedName>
    <definedName name="ExternalData_826" localSheetId="0">Sheet1!#REF!</definedName>
    <definedName name="ExternalData_827" localSheetId="0">Sheet1!$A$19:$G$20</definedName>
    <definedName name="ExternalData_828" localSheetId="0">Sheet1!$A$19:$G$20</definedName>
    <definedName name="ExternalData_829" localSheetId="0">Sheet1!$A$19:$G$20</definedName>
    <definedName name="ExternalData_83" localSheetId="0">Sheet1!#REF!</definedName>
    <definedName name="ExternalData_830" localSheetId="0">Sheet1!$A$19:$G$20</definedName>
    <definedName name="ExternalData_831" localSheetId="0">Sheet1!$A$19:$H$20</definedName>
    <definedName name="ExternalData_832" localSheetId="0">Sheet1!$A$19:$G$20</definedName>
    <definedName name="ExternalData_833" localSheetId="0">Sheet1!$A$19:$G$20</definedName>
    <definedName name="ExternalData_834" localSheetId="0">Sheet1!$A$19:$G$20</definedName>
    <definedName name="ExternalData_835" localSheetId="0">Sheet1!$A$19:$G$20</definedName>
    <definedName name="ExternalData_836" localSheetId="0">Sheet1!$A$19:$G$20</definedName>
    <definedName name="ExternalData_837" localSheetId="0">Sheet1!$A$19:$G$20</definedName>
    <definedName name="ExternalData_838" localSheetId="0">Sheet1!$A$19:$G$20</definedName>
    <definedName name="ExternalData_839" localSheetId="0">Sheet1!$A$19:$G$20</definedName>
    <definedName name="ExternalData_84" localSheetId="0">Sheet1!#REF!</definedName>
    <definedName name="ExternalData_840" localSheetId="0">Sheet1!$A$19:$G$20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Sheet1!$A$19:$G$20</definedName>
    <definedName name="ExternalData_858" localSheetId="0">Sheet1!$A$19:$G$20</definedName>
    <definedName name="ExternalData_859" localSheetId="0">Sheet1!$A$19:$G$20</definedName>
    <definedName name="ExternalData_860" localSheetId="0">Sheet1!$A$19:$G$20</definedName>
    <definedName name="ExternalData_861" localSheetId="0">Sheet1!$A$19:$E$20</definedName>
    <definedName name="ExternalData_862" localSheetId="0">Sheet1!$A$19:$F$20</definedName>
    <definedName name="ExternalData_863" localSheetId="0">Sheet1!#REF!</definedName>
    <definedName name="ExternalData_864" localSheetId="0">Sheet1!#REF!</definedName>
    <definedName name="ExternalData_865" localSheetId="0">Sheet1!$A$19:$G$20</definedName>
    <definedName name="ExternalData_866" localSheetId="0">Sheet1!$A$19:$G$20</definedName>
    <definedName name="ExternalData_867" localSheetId="0">Sheet1!$A$19:$G$20</definedName>
    <definedName name="ExternalData_868" localSheetId="0">Sheet1!$A$19:$G$20</definedName>
    <definedName name="ExternalData_869" localSheetId="0">Sheet1!$A$19:$G$20</definedName>
    <definedName name="ExternalData_870" localSheetId="0">Sheet1!$A$19:$G$20</definedName>
    <definedName name="ExternalData_871" localSheetId="0">Sheet1!$A$19:$H$20</definedName>
    <definedName name="ExternalData_872" localSheetId="0">Sheet1!$A$19:$H$20</definedName>
    <definedName name="ExternalData_873" localSheetId="0">Sheet1!$A$19:$H$20</definedName>
    <definedName name="ExternalData_874" localSheetId="0">Sheet1!$A$19:$H$20</definedName>
    <definedName name="ExternalData_875" localSheetId="0">Sheet1!$A$19:$H$20</definedName>
    <definedName name="ExternalData_876" localSheetId="0">Sheet1!$A$19:$H$20</definedName>
    <definedName name="ExternalData_877" localSheetId="0">Sheet1!$A$19:$I$21</definedName>
    <definedName name="ExternalData_878" localSheetId="0">Sheet1!$A$19:$I$21</definedName>
    <definedName name="ExternalData_879" localSheetId="0">Sheet1!$A$19:$I$21</definedName>
    <definedName name="ExternalData_880" localSheetId="0">Sheet1!$A$19:$I$21</definedName>
    <definedName name="ExternalData_881" localSheetId="0">Sheet1!$A$19:$I$21</definedName>
    <definedName name="ExternalData_882" localSheetId="0">Sheet1!$A$19:$H$20</definedName>
    <definedName name="ExternalData_883" localSheetId="0">Sheet1!$A$19:$H$20</definedName>
    <definedName name="ExternalData_884" localSheetId="0">Sheet1!#REF!</definedName>
    <definedName name="ExternalData_885" localSheetId="0">Sheet1!#REF!</definedName>
    <definedName name="ExternalData_89" localSheetId="0">Sheet1!#REF!</definedName>
    <definedName name="ExternalData_892" localSheetId="0">Sheet1!$A$19:$H$20</definedName>
    <definedName name="ExternalData_893" localSheetId="0">Sheet1!$A$19:$G$20</definedName>
    <definedName name="ExternalData_894" localSheetId="0">Sheet1!$A$19:$G$20</definedName>
    <definedName name="ExternalData_895" localSheetId="0">Sheet1!$A$19:$G$20</definedName>
    <definedName name="ExternalData_896" localSheetId="0">Sheet1!$A$19:$G$20</definedName>
    <definedName name="ExternalData_898" localSheetId="0">Sheet1!$A$19:$G$20</definedName>
    <definedName name="ExternalData_899" localSheetId="0">Sheet1!$A$19:$G$20</definedName>
    <definedName name="ExternalData_9" localSheetId="2">帮助!$A$11:$A$15</definedName>
    <definedName name="ExternalData_90" localSheetId="0">Sheet1!#REF!</definedName>
    <definedName name="ExternalData_900" localSheetId="0">Sheet1!$A$19:$H$20</definedName>
    <definedName name="ExternalData_901" localSheetId="0">Sheet1!$A$19:$G$20</definedName>
    <definedName name="ExternalData_902" localSheetId="3">Sheet2!#REF!</definedName>
    <definedName name="ExternalData_903" localSheetId="0">Sheet1!$A$19:$G$20</definedName>
    <definedName name="ExternalData_904" localSheetId="0">Sheet1!$A$19:$G$20</definedName>
    <definedName name="ExternalData_905" localSheetId="0">Sheet1!$A$19:$G$20</definedName>
    <definedName name="ExternalData_906" localSheetId="0">Sheet1!$A$19:$G$20</definedName>
    <definedName name="ExternalData_907" localSheetId="0">Sheet1!$A$19:$G$20</definedName>
    <definedName name="ExternalData_908" localSheetId="0">Sheet1!$A$19:$G$20</definedName>
    <definedName name="ExternalData_909" localSheetId="0">Sheet1!$A$19:$G$20</definedName>
    <definedName name="ExternalData_91" localSheetId="0">Sheet1!#REF!</definedName>
    <definedName name="ExternalData_910" localSheetId="0">Sheet1!$A$19:$G$20</definedName>
    <definedName name="ExternalData_911" localSheetId="0">Sheet1!$A$19:$G$20</definedName>
    <definedName name="ExternalData_912" localSheetId="0">Sheet1!$A$19:$G$20</definedName>
    <definedName name="ExternalData_913" localSheetId="0">Sheet1!#REF!</definedName>
    <definedName name="ExternalData_914" localSheetId="0">Sheet1!$A$19:$G$20</definedName>
    <definedName name="ExternalData_915" localSheetId="0">Sheet1!$A$19:$A$20</definedName>
    <definedName name="ExternalData_916" localSheetId="0">Sheet1!$A$19:$G$21</definedName>
    <definedName name="ExternalData_917" localSheetId="0">Sheet1!$A$19:$G$21</definedName>
    <definedName name="ExternalData_918" localSheetId="0">Sheet1!$A$19:$G$21</definedName>
    <definedName name="ExternalData_919" localSheetId="0">Sheet1!$A$19:$G$21</definedName>
    <definedName name="ExternalData_92" localSheetId="0">Sheet1!#REF!</definedName>
    <definedName name="ExternalData_920" localSheetId="0">Sheet1!$A$19:$G$21</definedName>
    <definedName name="ExternalData_921" localSheetId="0">Sheet1!$A$19:$G$21</definedName>
    <definedName name="ExternalData_922" localSheetId="0">Sheet1!$A$19:$G$21</definedName>
    <definedName name="ExternalData_926" localSheetId="0">Sheet1!$A$19:$G$21</definedName>
    <definedName name="ExternalData_926" localSheetId="3">Sheet2!#REF!</definedName>
    <definedName name="ExternalData_927" localSheetId="0">Sheet1!$A$19:$G$21</definedName>
    <definedName name="ExternalData_929" localSheetId="0">Sheet1!$A$19:$G$21</definedName>
    <definedName name="ExternalData_929" localSheetId="3">Sheet2!#REF!</definedName>
    <definedName name="ExternalData_93" localSheetId="0">Sheet1!#REF!</definedName>
    <definedName name="ExternalData_930" localSheetId="0">Sheet1!$A$19:$G$21</definedName>
    <definedName name="ExternalData_931" localSheetId="0">Sheet1!$A$19:$G$21</definedName>
    <definedName name="ExternalData_932" localSheetId="0">Sheet1!$A$19:$G$21</definedName>
    <definedName name="ExternalData_933" localSheetId="0">Sheet1!$A$19:$G$21</definedName>
    <definedName name="ExternalData_934" localSheetId="0">Sheet1!$A$19:$G$21</definedName>
    <definedName name="ExternalData_935" localSheetId="0">Sheet1!$A$19:$G$21</definedName>
    <definedName name="ExternalData_936" localSheetId="0">Sheet1!$A$19:$G$21</definedName>
    <definedName name="ExternalData_937" localSheetId="0">Sheet1!$A$19:$G$21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40" localSheetId="0">Sheet1!$A$19:$G$21</definedName>
    <definedName name="ExternalData_941" localSheetId="0">Sheet1!$A$19:$G$21</definedName>
    <definedName name="ExternalData_942" localSheetId="0">Sheet1!$A$19:$H$20</definedName>
    <definedName name="ExternalData_943" localSheetId="0">Sheet1!$A$19:$H$20</definedName>
    <definedName name="ExternalData_944" localSheetId="0">Sheet1!$A$19:$H$20</definedName>
    <definedName name="ExternalData_945" localSheetId="0">Sheet1!$A$19:$H$20</definedName>
    <definedName name="ExternalData_946" localSheetId="0">Sheet1!$A$19:$H$20</definedName>
    <definedName name="ExternalData_947" localSheetId="0">Sheet1!$A$19:$H$20</definedName>
    <definedName name="ExternalData_948" localSheetId="0">Sheet1!$A$19:$H$20</definedName>
    <definedName name="ExternalData_949" localSheetId="0">Sheet1!$A$19:$H$20</definedName>
    <definedName name="ExternalData_949" localSheetId="3">Sheet2!#REF!</definedName>
    <definedName name="ExternalData_95" localSheetId="0">Sheet1!#REF!</definedName>
    <definedName name="ExternalData_950" localSheetId="0">Sheet1!$A$19:$H$20</definedName>
    <definedName name="ExternalData_950" localSheetId="3">Sheet2!#REF!</definedName>
    <definedName name="ExternalData_951" localSheetId="0">Sheet1!$A$19:$H$21</definedName>
    <definedName name="ExternalData_951" localSheetId="3">Sheet2!#REF!</definedName>
    <definedName name="ExternalData_952" localSheetId="0">Sheet1!$A$19:$A$21</definedName>
    <definedName name="ExternalData_952" localSheetId="3">Sheet2!#REF!</definedName>
    <definedName name="ExternalData_953" localSheetId="0">Sheet1!$A$19:$H$20</definedName>
    <definedName name="ExternalData_954" localSheetId="0">Sheet1!$A$19:$A$20</definedName>
    <definedName name="ExternalData_955" localSheetId="0">Sheet1!$A$19:$H$21</definedName>
    <definedName name="ExternalData_956" localSheetId="0">Sheet1!$A$19:$H$21</definedName>
    <definedName name="ExternalData_957" localSheetId="0">Sheet1!$A$19:$F$21</definedName>
    <definedName name="ExternalData_958" localSheetId="0">Sheet1!$A$19:$F$21</definedName>
    <definedName name="ExternalData_959" localSheetId="0">Sheet1!$A$19:$F$21</definedName>
    <definedName name="ExternalData_96" localSheetId="0">Sheet1!#REF!</definedName>
    <definedName name="ExternalData_960" localSheetId="0">Sheet1!$A$19:$G$21</definedName>
    <definedName name="ExternalData_961" localSheetId="0">Sheet1!$A$19:$AW$21</definedName>
    <definedName name="ExternalData_962" localSheetId="0">Sheet1!$A$19:$F$21</definedName>
    <definedName name="ExternalData_963" localSheetId="0">Sheet1!$A$19:$G$21</definedName>
    <definedName name="ExternalData_964" localSheetId="0">Sheet1!$A$19:$H$21</definedName>
    <definedName name="ExternalData_965" localSheetId="0">Sheet1!$A$19:$A$21</definedName>
    <definedName name="ExternalData_966" localSheetId="0">Sheet1!$A$19:$G$21</definedName>
    <definedName name="ExternalData_967" localSheetId="0">Sheet1!$A$19:$H$21</definedName>
    <definedName name="ExternalData_968" localSheetId="0">Sheet1!$A$19:$G$21</definedName>
    <definedName name="ExternalData_969" localSheetId="0">Sheet1!$A$19:$A$20</definedName>
    <definedName name="ExternalData_97" localSheetId="0">Sheet1!#REF!</definedName>
    <definedName name="ExternalData_970" localSheetId="0">Sheet1!$A$19:$A$20</definedName>
    <definedName name="ExternalData_971" localSheetId="0">Sheet1!$A$19:$G$20</definedName>
    <definedName name="ExternalData_972" localSheetId="0">Sheet1!$A$19:$H$21</definedName>
    <definedName name="ExternalData_973" localSheetId="0">Sheet1!$A$19:$A$20</definedName>
    <definedName name="ExternalData_974" localSheetId="0">Sheet1!$A$19:$G$20</definedName>
    <definedName name="ExternalData_975" localSheetId="0">Sheet1!$A$19:$G$20</definedName>
    <definedName name="ExternalData_976" localSheetId="0">Sheet1!$A$19:$G$20</definedName>
    <definedName name="ExternalData_977" localSheetId="0">Sheet1!$A$19:$I$21</definedName>
    <definedName name="ExternalData_977" localSheetId="3">Sheet2!#REF!</definedName>
    <definedName name="ExternalData_978" localSheetId="0">Sheet1!$A$19:$I$21</definedName>
    <definedName name="ExternalData_978" localSheetId="3">Sheet2!#REF!</definedName>
    <definedName name="ExternalData_979" localSheetId="0">Sheet1!$A$19:$I$21</definedName>
    <definedName name="ExternalData_979" localSheetId="3">Sheet2!#REF!</definedName>
    <definedName name="ExternalData_98" localSheetId="0">Sheet1!#REF!</definedName>
    <definedName name="ExternalData_980" localSheetId="0">Sheet1!$A$19:$I$21</definedName>
    <definedName name="ExternalData_980" localSheetId="3">Sheet2!#REF!</definedName>
    <definedName name="ExternalData_981" localSheetId="0">Sheet1!$A$19:$I$21</definedName>
    <definedName name="ExternalData_981" localSheetId="3">Sheet2!#REF!</definedName>
    <definedName name="ExternalData_982" localSheetId="0">Sheet1!$A$19:$I$21</definedName>
    <definedName name="ExternalData_982" localSheetId="3">Sheet2!#REF!</definedName>
    <definedName name="ExternalData_983" localSheetId="0">Sheet1!$A$19:$I$21</definedName>
    <definedName name="ExternalData_983" localSheetId="3">Sheet2!#REF!</definedName>
    <definedName name="ExternalData_984" localSheetId="0">Sheet1!$A$19:$A$21</definedName>
    <definedName name="ExternalData_984" localSheetId="3">Sheet2!#REF!</definedName>
    <definedName name="ExternalData_985" localSheetId="0">Sheet1!$A$19:$A$21</definedName>
    <definedName name="ExternalData_985" localSheetId="3">Sheet2!#REF!</definedName>
    <definedName name="ExternalData_986" localSheetId="0">Sheet1!$A$19:$I$21</definedName>
    <definedName name="ExternalData_986" localSheetId="3">Sheet2!#REF!</definedName>
    <definedName name="ExternalData_987" localSheetId="0">Sheet1!$A$19:$I$21</definedName>
    <definedName name="ExternalData_987" localSheetId="3">Sheet2!#REF!</definedName>
    <definedName name="ExternalData_988" localSheetId="0">Sheet1!$A$19:$H$21</definedName>
    <definedName name="ExternalData_988" localSheetId="3">Sheet2!#REF!</definedName>
    <definedName name="ExternalData_989" localSheetId="0">Sheet1!$A$19:$I$21</definedName>
    <definedName name="ExternalData_989" localSheetId="3">Sheet2!#REF!</definedName>
    <definedName name="ExternalData_99" localSheetId="0">Sheet1!#REF!</definedName>
    <definedName name="ExternalData_990" localSheetId="0">Sheet1!$A$19:$I$21</definedName>
    <definedName name="ExternalData_990" localSheetId="3">Sheet2!#REF!</definedName>
    <definedName name="ExternalData_991" localSheetId="0">Sheet1!$A$19:$I$21</definedName>
    <definedName name="ExternalData_991" localSheetId="3">Sheet2!#REF!</definedName>
    <definedName name="ExternalData_992" localSheetId="0">Sheet1!$A$19:$I$21</definedName>
    <definedName name="ExternalData_992" localSheetId="3">Sheet2!#REF!</definedName>
    <definedName name="ExternalData_993" localSheetId="0">Sheet1!$A$19:$I$21</definedName>
    <definedName name="ExternalData_994" localSheetId="0">Sheet1!$A$19:$G$20</definedName>
    <definedName name="ExternalData_995" localSheetId="0">Sheet1!$A$19:$I$21</definedName>
    <definedName name="ExternalData_996" localSheetId="0">Sheet1!$A$19:$I$21</definedName>
    <definedName name="ExternalData_997" localSheetId="0">Sheet1!$A$19:$H$20</definedName>
    <definedName name="ExternalData_998" localSheetId="0">Sheet1!$A$19:$I$21</definedName>
    <definedName name="ExternalData_999" localSheetId="0">Sheet1!$A$19:$I$21</definedName>
  </definedNames>
  <calcPr calcId="144525"/>
</workbook>
</file>

<file path=xl/comments1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sz val="9"/>
            <rFont val="宋体"/>
            <charset val="134"/>
          </rPr>
          <t>xb21cn:
有查看密码可以看所有数据，有上传密码可以修改数据。</t>
        </r>
      </text>
    </comment>
    <comment ref="F2" authorId="0">
      <text>
        <r>
          <rPr>
            <sz val="9"/>
            <rFont val="宋体"/>
            <charset val="134"/>
          </rPr>
          <t>xb21cn:
有查看密码可以看所有数据，有上传密码可以修改数据。</t>
        </r>
      </text>
    </comment>
    <comment ref="J2" authorId="0">
      <text>
        <r>
          <rPr>
            <sz val="9"/>
            <rFont val="宋体"/>
            <charset val="134"/>
          </rPr>
          <t>xb21cn:
如果有些数据不需提示，可以这里设置</t>
        </r>
      </text>
    </comment>
    <comment ref="M6" authorId="0">
      <text>
        <r>
          <rPr>
            <sz val="9"/>
            <rFont val="宋体"/>
            <charset val="134"/>
          </rPr>
          <t xml:space="preserve">xb21cn:
下载文件时的命名规则
</t>
        </r>
      </text>
    </comment>
  </commentList>
</comments>
</file>

<file path=xl/comments2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sz val="9"/>
            <rFont val="宋体"/>
            <charset val="134"/>
          </rPr>
          <t>xb21cn:
有查看密码可以看所有数据，有上传密码可以修改数据。</t>
        </r>
      </text>
    </comment>
  </commentList>
</comments>
</file>

<file path=xl/connections.xml><?xml version="1.0" encoding="utf-8"?>
<connections xmlns="http://schemas.openxmlformats.org/spreadsheetml/2006/main">
  <connection id="1" name="连接" type="4" background="1" refreshedVersion="2" deleted="1" saveData="1">
    <webPr parsePre="1" consecutive="1" xl2000="1" htmlFormat="all" htmlTables="1"/>
  </connection>
  <connection id="2" name="连接1" type="4" background="1" refreshedVersion="2" deleted="1" saveData="1">
    <webPr parsePre="1" consecutive="1" xl2000="1" htmlFormat="all" htmlTables="1"/>
  </connection>
  <connection id="3" name="连接11" type="4" background="1" refreshedVersion="2" deleted="1" saveData="1">
    <webPr parsePre="1" consecutive="1" xl2000="1" htmlFormat="all" htmlTables="1"/>
  </connection>
  <connection id="4" name="连接12" type="4" background="1" refreshedVersion="2" deleted="1" saveData="1">
    <webPr parsePre="1" consecutive="1" xl2000="1" htmlFormat="all" htmlTables="1"/>
  </connection>
  <connection id="5" name="连接125" type="4" background="1" refreshedVersion="2" deleted="1" saveData="1">
    <webPr parsePre="1" consecutive="1" xl2000="1" htmlFormat="all" htmlTables="1"/>
  </connection>
  <connection id="6" name="连接126" type="4" background="1" refreshedVersion="2" deleted="1" saveData="1">
    <webPr parsePre="1" consecutive="1" xl2000="1" htmlFormat="all" htmlTables="1"/>
  </connection>
  <connection id="7" name="连接127" type="4" background="1" refreshedVersion="2" deleted="1" saveData="1">
    <webPr parsePre="1" consecutive="1" xl2000="1" htmlFormat="all" htmlTables="1"/>
  </connection>
  <connection id="8" name="连接13" type="4" background="1" refreshedVersion="2" deleted="1" saveData="1">
    <webPr parsePre="1" consecutive="1" xl2000="1" htmlFormat="all" htmlTables="1"/>
  </connection>
  <connection id="9" name="连接131" type="4" background="1" refreshedVersion="2" deleted="1" saveData="1">
    <webPr parsePre="1" consecutive="1" xl2000="1" htmlFormat="all" htmlTables="1"/>
  </connection>
  <connection id="10" name="连接137" type="4" background="1" refreshedVersion="2" deleted="1" saveData="1">
    <webPr parsePre="1" consecutive="1" xl2000="1" htmlFormat="all" htmlTables="1"/>
  </connection>
  <connection id="11" name="连接14" type="4" background="1" refreshedVersion="2" deleted="1" saveData="1">
    <webPr parsePre="1" consecutive="1" xl2000="1" htmlFormat="all" htmlTables="1"/>
  </connection>
  <connection id="12" name="连接167" type="4" background="1" refreshedVersion="2" deleted="1" saveData="1">
    <webPr parsePre="1" consecutive="1" xl2000="1" htmlFormat="all" htmlTables="1"/>
  </connection>
  <connection id="13" name="连接183" type="4" background="1" refreshedVersion="2" deleted="1" saveData="1">
    <webPr parsePre="1" consecutive="1" xl2000="1" htmlFormat="all" htmlTables="1"/>
  </connection>
  <connection id="14" name="连接2" type="4" background="1" refreshedVersion="2" deleted="1" saveData="1">
    <webPr parsePre="1" consecutive="1" xl2000="1" htmlFormat="all" htmlTables="1"/>
  </connection>
  <connection id="15" name="连接21" type="4" background="1" refreshedVersion="2" deleted="1" saveData="1">
    <webPr parsePre="1" consecutive="1" xl2000="1" htmlFormat="all" htmlTables="1"/>
  </connection>
  <connection id="16" name="连接23" type="4" background="1" refreshedVersion="2" deleted="1" saveData="1">
    <webPr parsePre="1" consecutive="1" xl2000="1" htmlFormat="all" htmlTables="1"/>
  </connection>
  <connection id="17" name="连接27" type="4" background="1" refreshedVersion="2" deleted="1" saveData="1">
    <webPr parsePre="1" consecutive="1" xl2000="1" htmlFormat="all" htmlTables="1"/>
  </connection>
  <connection id="18" name="连接28" type="4" background="1" refreshedVersion="2" deleted="1" saveData="1">
    <webPr parsePre="1" consecutive="1" xl2000="1" htmlFormat="all" htmlTables="1"/>
  </connection>
  <connection id="19" name="连接29" type="4" background="1" refreshedVersion="2" deleted="1" saveData="1">
    <webPr parsePre="1" consecutive="1" xl2000="1" htmlFormat="all" htmlTables="1"/>
  </connection>
  <connection id="20" name="连接3" type="4" background="1" refreshedVersion="2" deleted="1" saveData="1">
    <webPr parsePre="1" consecutive="1" xl2000="1" htmlFormat="all" htmlTables="1"/>
  </connection>
  <connection id="21" name="连接30" type="4" background="1" refreshedVersion="2" deleted="1" saveData="1">
    <webPr parsePre="1" consecutive="1" xl2000="1" htmlFormat="all" htmlTables="1"/>
  </connection>
  <connection id="22" name="连接31" type="4" background="1" refreshedVersion="2" deleted="1" saveData="1">
    <webPr parsePre="1" consecutive="1" xl2000="1" htmlFormat="all" htmlTables="1"/>
  </connection>
  <connection id="23" name="连接34" type="4" background="1" refreshedVersion="2" deleted="1" saveData="1">
    <webPr parsePre="1" consecutive="1" xl2000="1" htmlFormat="all" htmlTables="1"/>
  </connection>
  <connection id="24" name="连接35" type="4" background="1" refreshedVersion="2" deleted="1" saveData="1">
    <webPr parsePre="1" consecutive="1" xl2000="1" htmlFormat="all" htmlTables="1"/>
  </connection>
  <connection id="25" name="连接4" type="4" background="1" refreshedVersion="2" deleted="1" saveData="1">
    <webPr parsePre="1" consecutive="1" xl2000="1" htmlFormat="all" htmlTables="1"/>
  </connection>
  <connection id="26" name="连接40" type="4" background="1" refreshedVersion="2" deleted="1" saveData="1">
    <webPr parsePre="1" consecutive="1" xl2000="1" htmlFormat="all" htmlTables="1"/>
  </connection>
  <connection id="27" name="连接43" type="4" background="1" refreshedVersion="2" deleted="1" saveData="1">
    <webPr parsePre="1" consecutive="1" xl2000="1" htmlFormat="all" htmlTables="1"/>
  </connection>
  <connection id="28" name="连接5" type="4" background="1" refreshedVersion="2" deleted="1" saveData="1">
    <webPr parsePre="1" consecutive="1" xl2000="1" htmlFormat="all" htmlTables="1"/>
  </connection>
  <connection id="29" name="连接57" type="4" background="1" refreshedVersion="2" deleted="1" saveData="1">
    <webPr parsePre="1" consecutive="1" xl2000="1" htmlFormat="all" htmlTables="1"/>
  </connection>
  <connection id="30" name="连接6" type="4" background="1" refreshedVersion="2" deleted="1" saveData="1">
    <webPr parsePre="1" consecutive="1" xl2000="1" htmlFormat="all" htmlTables="1"/>
  </connection>
</connections>
</file>

<file path=xl/sharedStrings.xml><?xml version="1.0" encoding="utf-8"?>
<sst xmlns="http://schemas.openxmlformats.org/spreadsheetml/2006/main" count="219">
  <si>
    <t>数据表名</t>
  </si>
  <si>
    <t>等于</t>
  </si>
  <si>
    <t>班级经费管理随机</t>
  </si>
  <si>
    <t>查看密码</t>
  </si>
  <si>
    <t>随机</t>
  </si>
  <si>
    <t>姓名字段</t>
  </si>
  <si>
    <t>d4</t>
  </si>
  <si>
    <t>查询网址/index.php/Qwadmin/RwxyCom/echoteacherdb?conall=%E6%95%B0%E6%8D%AE%E8%A1%A8%E5%90%8D%E7%AD%89%E4%BA%8E%3B%E7%AD%89%E4%BA%8E%E6%9F%A5%E7%9C%8B%E5%AF%86%E7%A0%81%3B%E7%AD%89%E4%BA%8E%E7%94%A8%E6%88%B7%E5%90%8D%3B%E7%AD%89%E4%BA%8E%E7%94%A8%E6%88%B7%E5%AF%86%E7%A0%81%3B</t>
  </si>
  <si>
    <t>http://gl.home.upsir.com:88/index.php/Qwadmin/Rwxy/echoteacherdb?conall=%E6%95%B0%E6%8D%AE%E8%A1%A8%E5%90%8D%E7%AD%89%E4%BA%8E%E8%AE%BE%E5%A4%87%E9%87%87%E8%B4%ADtemp2552%3B%E6%9F%A5%E7%9C%8B%E5%AF%86%E7%A0%81%E7%AD%89%E4%BA%8ELRNSW5044I%3B</t>
  </si>
  <si>
    <t>上传密码</t>
  </si>
  <si>
    <t>缩略显示</t>
  </si>
  <si>
    <r>
      <rPr>
        <sz val="11"/>
        <color theme="1"/>
        <rFont val="宋体"/>
        <charset val="134"/>
      </rPr>
      <t>d4</t>
    </r>
    <r>
      <rPr>
        <sz val="11"/>
        <color theme="1"/>
        <rFont val="宋体"/>
        <charset val="134"/>
      </rPr>
      <t>,d5,</t>
    </r>
    <r>
      <rPr>
        <sz val="11"/>
        <color theme="1"/>
        <rFont val="宋体"/>
        <charset val="134"/>
      </rPr>
      <t>d8</t>
    </r>
  </si>
  <si>
    <t>自动清空上传密码、用户密码</t>
  </si>
  <si>
    <t>用户名</t>
  </si>
  <si>
    <t>提示字段</t>
  </si>
  <si>
    <t>d5,d6,d7</t>
  </si>
  <si>
    <t>复制到数据表</t>
  </si>
  <si>
    <t>用户密码</t>
  </si>
  <si>
    <t>复制到单元格</t>
  </si>
  <si>
    <t>查询网址</t>
  </si>
  <si>
    <t>http://hk.r34.cc</t>
  </si>
  <si>
    <t>读权限字段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</si>
  <si>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</t>
    </r>
  </si>
  <si>
    <t>自动下载文件</t>
  </si>
  <si>
    <t>是</t>
  </si>
  <si>
    <t>写权限字段</t>
  </si>
  <si>
    <t>文件名命名规则</t>
  </si>
  <si>
    <t>A,H,D</t>
  </si>
  <si>
    <t>自动建文件夹</t>
  </si>
  <si>
    <t>下载区</t>
  </si>
  <si>
    <t>密码区</t>
  </si>
  <si>
    <t>位置固定</t>
  </si>
  <si>
    <t>上传区</t>
  </si>
  <si>
    <t>本地参数</t>
  </si>
  <si>
    <t>d1</t>
  </si>
  <si>
    <t>d2</t>
  </si>
  <si>
    <t>d3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</si>
  <si>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</si>
  <si>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</si>
  <si>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</si>
  <si>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</si>
  <si>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</si>
  <si>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</si>
  <si>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</si>
  <si>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</si>
  <si>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</si>
  <si>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</si>
  <si>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</si>
  <si>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</si>
  <si>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</si>
  <si>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</si>
  <si>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</si>
  <si>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</si>
  <si>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</si>
  <si>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</si>
  <si>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</si>
  <si>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日期</t>
  </si>
  <si>
    <t>收入</t>
  </si>
  <si>
    <t>支出</t>
  </si>
  <si>
    <t>摘要</t>
  </si>
  <si>
    <t>费用摘要</t>
  </si>
  <si>
    <t>支付方式</t>
  </si>
  <si>
    <t>对方单位</t>
  </si>
  <si>
    <t>经办人</t>
  </si>
  <si>
    <t>余额</t>
  </si>
  <si>
    <r>
      <rPr>
        <sz val="11"/>
        <color rgb="FF333333"/>
        <rFont val="宋体"/>
        <charset val="134"/>
      </rPr>
      <t>文件</t>
    </r>
    <r>
      <rPr>
        <sz val="11"/>
        <color rgb="FF333333"/>
        <rFont val="Arial"/>
        <charset val="134"/>
      </rPr>
      <t>_</t>
    </r>
    <r>
      <rPr>
        <sz val="11"/>
        <color rgb="FF333333"/>
        <rFont val="宋体"/>
        <charset val="134"/>
      </rPr>
      <t>发票</t>
    </r>
  </si>
  <si>
    <r>
      <rPr>
        <sz val="11"/>
        <color rgb="FF333333"/>
        <rFont val="宋体"/>
        <charset val="134"/>
      </rPr>
      <t>文件</t>
    </r>
    <r>
      <rPr>
        <sz val="11"/>
        <color rgb="FF333333"/>
        <rFont val="Arial"/>
        <charset val="134"/>
      </rPr>
      <t>_</t>
    </r>
    <r>
      <rPr>
        <sz val="11"/>
        <color rgb="FF333333"/>
        <rFont val="宋体"/>
        <charset val="134"/>
      </rPr>
      <t>附件</t>
    </r>
    <r>
      <rPr>
        <sz val="11"/>
        <color rgb="FF333333"/>
        <rFont val="Arial"/>
        <charset val="134"/>
      </rPr>
      <t>2</t>
    </r>
  </si>
  <si>
    <r>
      <rPr>
        <sz val="11"/>
        <color rgb="FF333333"/>
        <rFont val="宋体"/>
        <charset val="134"/>
      </rPr>
      <t>家委会</t>
    </r>
    <r>
      <rPr>
        <sz val="11"/>
        <color rgb="FF333333"/>
        <rFont val="Arial"/>
        <charset val="134"/>
      </rPr>
      <t>7</t>
    </r>
    <r>
      <rPr>
        <sz val="11"/>
        <color rgb="FF333333"/>
        <rFont val="宋体"/>
        <charset val="134"/>
      </rPr>
      <t>人垫付班费</t>
    </r>
  </si>
  <si>
    <t>500元/人（康越梁、张屹松、侯赵阳、王俊皓、冯奕博、金心玥、余易阳）</t>
  </si>
  <si>
    <t>支付宝</t>
  </si>
  <si>
    <t>侯妈妈</t>
  </si>
  <si>
    <t>/Uploads/2020-09-13/5f5dc5157d9f02.92757964.jpg</t>
  </si>
  <si>
    <t>班级收纳箱统一购买</t>
  </si>
  <si>
    <t>45*32.7=1471.5</t>
  </si>
  <si>
    <t>康妈妈</t>
  </si>
  <si>
    <t>/Uploads/2020-09-13/5f5dc5095f54a7.62727259.jpg</t>
  </si>
  <si>
    <t>班级大扫除清洁用品</t>
  </si>
  <si>
    <t>余妈妈</t>
  </si>
  <si>
    <t>/Uploads/2020-09-13/5f5dc51a108886.74725520.jpg</t>
  </si>
  <si>
    <t>班级绿植统一购买</t>
  </si>
  <si>
    <r>
      <rPr>
        <sz val="11"/>
        <color rgb="FF333333"/>
        <rFont val="宋体"/>
        <charset val="134"/>
      </rPr>
      <t>绿萝</t>
    </r>
    <r>
      <rPr>
        <sz val="11"/>
        <color rgb="FF333333"/>
        <rFont val="Arial"/>
        <charset val="134"/>
      </rPr>
      <t>10*12=120</t>
    </r>
    <r>
      <rPr>
        <sz val="11"/>
        <color rgb="FF333333"/>
        <rFont val="宋体"/>
        <charset val="134"/>
      </rPr>
      <t>，白掌</t>
    </r>
    <r>
      <rPr>
        <sz val="11"/>
        <color rgb="FF333333"/>
        <rFont val="Arial"/>
        <charset val="134"/>
      </rPr>
      <t>6*25=150</t>
    </r>
  </si>
  <si>
    <t>/Uploads/2020-09-13/5f5dc51d376840.52319450.jpg</t>
  </si>
  <si>
    <t>开学前家政打扫</t>
  </si>
  <si>
    <t>家佳乐</t>
  </si>
  <si>
    <t>/Uploads/2020-09-13/5f5dc520e5f772.33612382.jpg</t>
  </si>
  <si>
    <t>班级雨伞架</t>
  </si>
  <si>
    <t>未支付</t>
  </si>
  <si>
    <t>冯妈妈</t>
  </si>
  <si>
    <t>/Uploads/2020-09-13/5f5dc5241cbb27.75842496.jpg</t>
  </si>
  <si>
    <t>收取班费</t>
  </si>
  <si>
    <r>
      <rPr>
        <sz val="11"/>
        <color rgb="FF333333"/>
        <rFont val="Arial"/>
        <charset val="134"/>
      </rPr>
      <t>38</t>
    </r>
    <r>
      <rPr>
        <sz val="11"/>
        <color rgb="FF333333"/>
        <rFont val="宋体"/>
        <charset val="134"/>
      </rPr>
      <t>人，暂时由张屹松妈妈收取，钱款由侯赵阳妈妈管理</t>
    </r>
  </si>
  <si>
    <t>张妈妈</t>
  </si>
  <si>
    <t>/Uploads/2020-09-13/5f5dc52fe7c4a8.84285970.jpg</t>
  </si>
  <si>
    <t>本学年美术材料费</t>
  </si>
  <si>
    <t>45*20=900</t>
  </si>
  <si>
    <t>小飞</t>
  </si>
  <si>
    <t>/Uploads/2020-09-13/5f5dc5274d2aa2.19321285.jpg</t>
  </si>
  <si>
    <t>必须要先设定</t>
  </si>
  <si>
    <t>工号</t>
  </si>
  <si>
    <t>所在的列才能查</t>
  </si>
  <si>
    <t>参</t>
  </si>
  <si>
    <t>数</t>
  </si>
  <si>
    <t>维护人</t>
  </si>
  <si>
    <t>学号/工号</t>
  </si>
  <si>
    <t>姓名</t>
  </si>
  <si>
    <t>显示字段</t>
  </si>
  <si>
    <t>不显字段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</si>
  <si>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</si>
  <si>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6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</si>
  <si>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8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</si>
  <si>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10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</si>
  <si>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12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</si>
  <si>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14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</si>
  <si>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16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</si>
  <si>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18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</si>
  <si>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20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</si>
  <si>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22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</si>
  <si>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24</t>
    </r>
  </si>
  <si>
    <t>d25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</si>
  <si>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26</t>
    </r>
  </si>
  <si>
    <t>d27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</si>
  <si>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28</t>
    </r>
  </si>
  <si>
    <t>d29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</si>
  <si>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30</t>
    </r>
  </si>
  <si>
    <t>d31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</si>
  <si>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32</t>
    </r>
  </si>
  <si>
    <t>d33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</si>
  <si>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34</t>
    </r>
  </si>
  <si>
    <t>d35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</si>
  <si>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36</t>
    </r>
  </si>
  <si>
    <t>d37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</si>
  <si>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38</t>
    </r>
  </si>
  <si>
    <t>d39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</si>
  <si>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40</t>
    </r>
  </si>
  <si>
    <t>d41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</si>
  <si>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42</t>
    </r>
  </si>
  <si>
    <t>d43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</si>
  <si>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44</t>
    </r>
  </si>
  <si>
    <t>d45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</si>
  <si>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46</t>
    </r>
  </si>
  <si>
    <t>d47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</si>
  <si>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48</t>
    </r>
  </si>
  <si>
    <t>d49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</si>
  <si>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50</t>
    </r>
  </si>
  <si>
    <t>包含</t>
  </si>
  <si>
    <r>
      <rPr>
        <sz val="11"/>
        <color theme="1"/>
        <rFont val="宋体"/>
        <charset val="134"/>
      </rPr>
      <t>I</t>
    </r>
    <r>
      <rPr>
        <sz val="11"/>
        <color theme="1"/>
        <rFont val="宋体"/>
        <charset val="134"/>
      </rPr>
      <t>N</t>
    </r>
  </si>
  <si>
    <t>注意：</t>
  </si>
  <si>
    <t>本地更新</t>
  </si>
  <si>
    <t>1. 一定要填入密码，无密码无法更新</t>
  </si>
  <si>
    <t>现有数据库</t>
  </si>
  <si>
    <t>学生体测测试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</si>
  <si>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</si>
  <si>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</si>
  <si>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</si>
  <si>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</si>
  <si>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</si>
  <si>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</si>
  <si>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</si>
  <si>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</si>
  <si>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</si>
  <si>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</si>
  <si>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</si>
  <si>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</si>
  <si>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</si>
  <si>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</si>
  <si>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</si>
  <si>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</si>
  <si>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</si>
  <si>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</si>
  <si>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</si>
  <si>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</si>
  <si>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</si>
  <si>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</si>
  <si>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</si>
  <si>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d24</t>
  </si>
  <si>
    <t>X</t>
  </si>
  <si>
    <t>Y</t>
  </si>
  <si>
    <t>d26</t>
  </si>
  <si>
    <t>Z</t>
  </si>
  <si>
    <t>AA</t>
  </si>
  <si>
    <t>d28</t>
  </si>
  <si>
    <t>AB</t>
  </si>
  <si>
    <t>AC</t>
  </si>
  <si>
    <t>d30</t>
  </si>
  <si>
    <t>AD</t>
  </si>
  <si>
    <t>AE</t>
  </si>
  <si>
    <t>d32</t>
  </si>
  <si>
    <t>AF</t>
  </si>
  <si>
    <t>AG</t>
  </si>
  <si>
    <t>d34</t>
  </si>
  <si>
    <t>AH</t>
  </si>
  <si>
    <t>AI</t>
  </si>
  <si>
    <t>d36</t>
  </si>
  <si>
    <t>AJ</t>
  </si>
  <si>
    <t>AK</t>
  </si>
  <si>
    <t>d38</t>
  </si>
  <si>
    <t>AL</t>
  </si>
  <si>
    <t>AM</t>
  </si>
  <si>
    <t>d40</t>
  </si>
  <si>
    <t>AN</t>
  </si>
  <si>
    <t>AO</t>
  </si>
  <si>
    <t>d42</t>
  </si>
  <si>
    <t>AP</t>
  </si>
  <si>
    <t>AQ</t>
  </si>
  <si>
    <t>d44</t>
  </si>
  <si>
    <t>AR</t>
  </si>
  <si>
    <t>AS</t>
  </si>
  <si>
    <t>d46</t>
  </si>
  <si>
    <t>AT</t>
  </si>
  <si>
    <t>AU</t>
  </si>
  <si>
    <t>d48</t>
  </si>
  <si>
    <t>AV</t>
  </si>
  <si>
    <t>AW</t>
  </si>
  <si>
    <t>d50</t>
  </si>
  <si>
    <t>AX</t>
  </si>
  <si>
    <t>古村调研</t>
  </si>
  <si>
    <t>申报表随机</t>
  </si>
  <si>
    <t>下载网址</t>
  </si>
  <si>
    <t>http://aa.r34.cc/index.php/Qwadmin/Rwxy/echoteacherdb?conall=%E6%95%B0%E6%8D%AE%E8%A1%A8%E5%90%8D%E7%AD%89%E4%BA%8E%E7%94%B3%E6%8A%A5%E8%A1%A8%5FXU%3B%E4%B8%8B%E8%BD%BD%E5%8C%BA%E4%B8%8B%E8%BD%BD%E5%8C%BA%E4%B8%8B%E8%BD%BD%E5%8C%BA%3B%E6%9F%A5%E7%9C%8B%E5%AF%86%E7%A0%81%E7%AD%89%E4%BA%8E490YZ5695M%3B%E4%B8%8A%E4%BC%A0%E5%AF%86%E7%A0%81%E7%AD%89%E4%BA%8E1POXC821V1M6SR%3B%E7%94%A8%E6%88%B7%E5%90%8D%E7%AD%89%E4%BA%8E%3B%E7%94%A8%E6%88%B7%E5%AF%86%E7%A0%81%E7%AD%89%E4%BA%8E%3B%E6%9F%A5%E8%AF%A2%E7%BD%91%E5%9D%80%E7%AD%89%E4%BA%8Ehttp%3A%2F%2Faa%2Er34%2Ecc%3B%E5%AF%86%E7%A0%81%E5%8C%BA%E7%AD%89%E4%BA%8E%E4%BD%8D%E7%BD%AE%E5%9B%BA%E5%AE%9A%3B%E5%A7%93%E5%90%8D%E5%AD%97%E6%AE%B5%E7%AD%89%E4%BA%8Ed1%3B%E6%8F%90%E7%A4%BA%E5%AD%97%E6%AE%B5%E7%AD%89%E4%BA%8Ed1%3BID%E5%AD%97%E6%AE%B5%E7%AD%89%E4%BA%8Ed1%3B%E4%B8%8A%E4%BC%A0%E5%8C%BA%E7%AD%89%E4%BA%8E%E4%B8%8A%E4%BC%A0%E5%8C%BA%3B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</si>
</sst>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</numFmts>
  <fonts count="34">
    <font>
      <sz val="11"/>
      <color theme="1"/>
      <name val="宋体"/>
      <charset val="134"/>
      <scheme val="minor"/>
    </font>
    <font>
      <b/>
      <sz val="11"/>
      <color theme="3" tint="0.39973143711661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0"/>
      <color theme="1"/>
      <name val="宋体"/>
      <charset val="134"/>
      <scheme val="minor"/>
    </font>
    <font>
      <sz val="18"/>
      <name val="宋体"/>
      <charset val="134"/>
      <scheme val="minor"/>
    </font>
    <font>
      <sz val="10"/>
      <name val="Helv"/>
      <charset val="134"/>
    </font>
    <font>
      <sz val="11"/>
      <name val="宋体"/>
      <charset val="134"/>
    </font>
    <font>
      <b/>
      <sz val="18"/>
      <color rgb="FFFF0000"/>
      <name val="宋体"/>
      <charset val="134"/>
      <scheme val="minor"/>
    </font>
    <font>
      <b/>
      <sz val="11"/>
      <name val="宋体"/>
      <charset val="134"/>
    </font>
    <font>
      <sz val="11"/>
      <color rgb="FF333333"/>
      <name val="Arial"/>
      <charset val="134"/>
    </font>
    <font>
      <sz val="11"/>
      <color rgb="FF333333"/>
      <name val="宋体"/>
      <charset val="134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2"/>
      <name val="宋体"/>
      <charset val="134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sz val="10"/>
      <name val="Arial"/>
      <charset val="134"/>
    </font>
    <font>
      <sz val="11"/>
      <color theme="1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3" tint="0.39973143711661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</fills>
  <borders count="2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56">
    <xf numFmtId="0" fontId="0" fillId="0" borderId="0">
      <alignment vertical="center"/>
    </xf>
    <xf numFmtId="0" fontId="28" fillId="0" borderId="0"/>
    <xf numFmtId="42" fontId="0" fillId="0" borderId="0" applyFont="0" applyFill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3" fillId="10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8" borderId="14" applyNumberFormat="0" applyFont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9" fillId="0" borderId="13" applyNumberFormat="0" applyFill="0" applyAlignment="0" applyProtection="0">
      <alignment vertical="center"/>
    </xf>
    <xf numFmtId="0" fontId="26" fillId="0" borderId="13" applyNumberFormat="0" applyFill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4" fillId="0" borderId="16" applyNumberFormat="0" applyFill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8" fillId="7" borderId="12" applyNumberFormat="0" applyAlignment="0" applyProtection="0">
      <alignment vertical="center"/>
    </xf>
    <xf numFmtId="0" fontId="29" fillId="7" borderId="17" applyNumberFormat="0" applyAlignment="0" applyProtection="0">
      <alignment vertical="center"/>
    </xf>
    <xf numFmtId="0" fontId="25" fillId="12" borderId="18" applyNumberFormat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30" fillId="0" borderId="19" applyNumberFormat="0" applyFill="0" applyAlignment="0" applyProtection="0">
      <alignment vertical="center"/>
    </xf>
    <xf numFmtId="0" fontId="20" fillId="0" borderId="15" applyNumberFormat="0" applyFill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30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28" fillId="0" borderId="0"/>
    <xf numFmtId="0" fontId="32" fillId="0" borderId="0"/>
    <xf numFmtId="0" fontId="0" fillId="0" borderId="0">
      <alignment vertical="center"/>
    </xf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0" borderId="0" xfId="0" applyNumberFormat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1" xfId="0" applyNumberFormat="1" applyBorder="1" applyAlignment="1">
      <alignment horizontal="center" vertical="center" shrinkToFit="1"/>
    </xf>
    <xf numFmtId="0" fontId="0" fillId="0" borderId="2" xfId="0" applyNumberFormat="1" applyFont="1" applyBorder="1" applyAlignment="1">
      <alignment horizontal="center" vertical="center" shrinkToFit="1"/>
    </xf>
    <xf numFmtId="0" fontId="0" fillId="2" borderId="3" xfId="0" applyNumberFormat="1" applyFont="1" applyFill="1" applyBorder="1" applyAlignment="1">
      <alignment horizontal="center" vertical="center" shrinkToFi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2" fillId="0" borderId="4" xfId="0" applyNumberFormat="1" applyFont="1" applyBorder="1" applyAlignment="1">
      <alignment horizontal="center" vertical="center" shrinkToFit="1"/>
    </xf>
    <xf numFmtId="0" fontId="3" fillId="0" borderId="3" xfId="0" applyNumberFormat="1" applyFont="1" applyFill="1" applyBorder="1" applyAlignment="1">
      <alignment horizontal="center" vertical="center" shrinkToFit="1"/>
    </xf>
    <xf numFmtId="0" fontId="0" fillId="0" borderId="0" xfId="0" applyNumberFormat="1" applyBorder="1" applyAlignment="1">
      <alignment horizontal="center" vertical="center" shrinkToFit="1"/>
    </xf>
    <xf numFmtId="0" fontId="0" fillId="0" borderId="4" xfId="0" applyNumberFormat="1" applyFont="1" applyFill="1" applyBorder="1" applyAlignment="1">
      <alignment horizontal="center" vertical="center" shrinkToFit="1"/>
    </xf>
    <xf numFmtId="0" fontId="0" fillId="0" borderId="5" xfId="0" applyNumberFormat="1" applyFont="1" applyFill="1" applyBorder="1" applyAlignment="1">
      <alignment horizontal="center" vertical="center" shrinkToFit="1"/>
    </xf>
    <xf numFmtId="0" fontId="0" fillId="0" borderId="0" xfId="0" applyNumberFormat="1" applyFont="1" applyBorder="1" applyAlignment="1">
      <alignment horizontal="center" vertical="center" shrinkToFit="1"/>
    </xf>
    <xf numFmtId="0" fontId="0" fillId="0" borderId="6" xfId="53" applyBorder="1" applyAlignment="1">
      <alignment vertical="center" shrinkToFit="1"/>
    </xf>
    <xf numFmtId="0" fontId="0" fillId="0" borderId="0" xfId="53" applyBorder="1" applyAlignment="1">
      <alignment vertical="center" shrinkToFit="1"/>
    </xf>
    <xf numFmtId="0" fontId="0" fillId="0" borderId="0" xfId="53" applyAlignment="1">
      <alignment horizontal="left" vertical="center" shrinkToFit="1"/>
    </xf>
    <xf numFmtId="0" fontId="0" fillId="0" borderId="0" xfId="53" applyAlignment="1">
      <alignment vertical="center" shrinkToFit="1"/>
    </xf>
    <xf numFmtId="0" fontId="0" fillId="0" borderId="0" xfId="53" applyFill="1" applyAlignment="1">
      <alignment vertical="center" shrinkToFit="1"/>
    </xf>
    <xf numFmtId="0" fontId="0" fillId="3" borderId="0" xfId="53" applyFill="1" applyAlignment="1">
      <alignment vertical="center" shrinkToFit="1"/>
    </xf>
    <xf numFmtId="0" fontId="0" fillId="0" borderId="0" xfId="53" applyBorder="1" applyAlignment="1">
      <alignment horizontal="left" vertical="center" shrinkToFit="1"/>
    </xf>
    <xf numFmtId="0" fontId="0" fillId="0" borderId="0" xfId="53" applyBorder="1" applyAlignment="1">
      <alignment horizontal="center" vertical="center" shrinkToFit="1"/>
    </xf>
    <xf numFmtId="0" fontId="1" fillId="0" borderId="0" xfId="53" applyFont="1" applyBorder="1" applyAlignment="1">
      <alignment horizontal="center" vertical="center" shrinkToFit="1"/>
    </xf>
    <xf numFmtId="0" fontId="1" fillId="0" borderId="0" xfId="53" applyFont="1" applyBorder="1" applyAlignment="1">
      <alignment vertical="center" shrinkToFit="1"/>
    </xf>
    <xf numFmtId="0" fontId="0" fillId="3" borderId="0" xfId="53" applyFill="1" applyBorder="1" applyAlignment="1">
      <alignment vertical="center" shrinkToFit="1"/>
    </xf>
    <xf numFmtId="0" fontId="0" fillId="0" borderId="0" xfId="53" applyFont="1" applyBorder="1" applyAlignment="1">
      <alignment horizontal="center" vertical="center" shrinkToFit="1"/>
    </xf>
    <xf numFmtId="0" fontId="0" fillId="0" borderId="0" xfId="53" applyFont="1" applyFill="1" applyBorder="1" applyAlignment="1">
      <alignment horizontal="center" vertical="center" shrinkToFit="1"/>
    </xf>
    <xf numFmtId="0" fontId="0" fillId="2" borderId="0" xfId="53" applyFont="1" applyFill="1" applyBorder="1" applyAlignment="1">
      <alignment horizontal="center" vertical="center" shrinkToFit="1"/>
    </xf>
    <xf numFmtId="0" fontId="0" fillId="3" borderId="0" xfId="53" applyFont="1" applyFill="1" applyBorder="1" applyAlignment="1">
      <alignment vertical="center" shrinkToFit="1"/>
    </xf>
    <xf numFmtId="0" fontId="0" fillId="0" borderId="0" xfId="53" applyFont="1" applyBorder="1" applyAlignment="1">
      <alignment horizontal="left" vertical="center" shrinkToFit="1"/>
    </xf>
    <xf numFmtId="0" fontId="4" fillId="0" borderId="0" xfId="11" applyBorder="1" applyAlignment="1">
      <alignment vertical="center" shrinkToFit="1"/>
    </xf>
    <xf numFmtId="0" fontId="2" fillId="0" borderId="6" xfId="53" applyFont="1" applyBorder="1" applyAlignment="1">
      <alignment horizontal="left" vertical="center" shrinkToFit="1"/>
    </xf>
    <xf numFmtId="0" fontId="0" fillId="0" borderId="6" xfId="53" applyFont="1" applyBorder="1" applyAlignment="1">
      <alignment horizontal="center" vertical="center" shrinkToFit="1"/>
    </xf>
    <xf numFmtId="0" fontId="4" fillId="0" borderId="6" xfId="11" applyBorder="1" applyAlignment="1">
      <alignment vertical="center" shrinkToFit="1"/>
    </xf>
    <xf numFmtId="0" fontId="0" fillId="0" borderId="6" xfId="53" applyBorder="1" applyAlignment="1">
      <alignment horizontal="center" vertical="center" shrinkToFit="1"/>
    </xf>
    <xf numFmtId="0" fontId="0" fillId="3" borderId="6" xfId="53" applyFont="1" applyFill="1" applyBorder="1" applyAlignment="1">
      <alignment vertical="center" shrinkToFit="1"/>
    </xf>
    <xf numFmtId="0" fontId="5" fillId="0" borderId="0" xfId="53" applyFont="1" applyBorder="1" applyAlignment="1">
      <alignment horizontal="left" vertical="center" shrinkToFit="1"/>
    </xf>
    <xf numFmtId="0" fontId="0" fillId="0" borderId="0" xfId="53" applyFont="1" applyFill="1" applyBorder="1" applyAlignment="1">
      <alignment vertical="center" shrinkToFit="1"/>
    </xf>
    <xf numFmtId="0" fontId="5" fillId="0" borderId="0" xfId="53" applyFont="1" applyBorder="1" applyAlignment="1">
      <alignment vertical="center" shrinkToFit="1"/>
    </xf>
    <xf numFmtId="0" fontId="5" fillId="0" borderId="0" xfId="53" applyFont="1" applyFill="1" applyBorder="1" applyAlignment="1">
      <alignment vertical="center" shrinkToFit="1"/>
    </xf>
    <xf numFmtId="0" fontId="5" fillId="0" borderId="0" xfId="53" applyFont="1" applyAlignment="1">
      <alignment horizontal="left" vertical="center" shrinkToFit="1"/>
    </xf>
    <xf numFmtId="0" fontId="5" fillId="0" borderId="0" xfId="53" applyFont="1" applyAlignment="1">
      <alignment vertical="center" shrinkToFit="1"/>
    </xf>
    <xf numFmtId="0" fontId="0" fillId="0" borderId="0" xfId="53" applyFont="1" applyFill="1" applyAlignment="1">
      <alignment vertical="center" shrinkToFit="1"/>
    </xf>
    <xf numFmtId="0" fontId="5" fillId="0" borderId="0" xfId="53" applyFont="1" applyFill="1" applyAlignment="1">
      <alignment vertical="center" shrinkToFit="1"/>
    </xf>
    <xf numFmtId="0" fontId="0" fillId="3" borderId="0" xfId="53" applyFont="1" applyFill="1" applyAlignment="1">
      <alignment vertical="center" shrinkToFit="1"/>
    </xf>
    <xf numFmtId="0" fontId="0" fillId="0" borderId="0" xfId="53" applyFont="1" applyBorder="1" applyAlignment="1">
      <alignment vertical="center" shrinkToFit="1"/>
    </xf>
    <xf numFmtId="0" fontId="0" fillId="0" borderId="0" xfId="53" applyFill="1" applyBorder="1" applyAlignment="1">
      <alignment horizontal="center" vertical="center" shrinkToFit="1"/>
    </xf>
    <xf numFmtId="0" fontId="0" fillId="0" borderId="0" xfId="53" applyFont="1" applyAlignment="1">
      <alignment vertical="center" shrinkToFit="1"/>
    </xf>
    <xf numFmtId="0" fontId="6" fillId="0" borderId="0" xfId="53" applyNumberFormat="1" applyFont="1" applyAlignment="1">
      <alignment horizontal="left" vertical="center"/>
    </xf>
    <xf numFmtId="0" fontId="0" fillId="0" borderId="7" xfId="53" applyNumberFormat="1" applyBorder="1" applyAlignment="1">
      <alignment vertical="center" shrinkToFit="1"/>
    </xf>
    <xf numFmtId="0" fontId="7" fillId="0" borderId="0" xfId="53" applyNumberFormat="1" applyFont="1" applyAlignment="1">
      <alignment horizontal="center" shrinkToFit="1"/>
    </xf>
    <xf numFmtId="0" fontId="0" fillId="0" borderId="0" xfId="53" applyNumberFormat="1" applyFont="1" applyAlignment="1">
      <alignment shrinkToFit="1"/>
    </xf>
    <xf numFmtId="0" fontId="8" fillId="0" borderId="0" xfId="53" applyNumberFormat="1" applyFont="1" applyFill="1" applyBorder="1" applyAlignment="1">
      <alignment horizontal="center" vertical="center" shrinkToFit="1"/>
    </xf>
    <xf numFmtId="0" fontId="0" fillId="0" borderId="0" xfId="53" applyNumberFormat="1" applyFont="1" applyAlignment="1">
      <alignment horizontal="center" shrinkToFit="1"/>
    </xf>
    <xf numFmtId="0" fontId="0" fillId="0" borderId="0" xfId="53" applyNumberFormat="1" applyAlignment="1">
      <alignment vertical="center" shrinkToFit="1"/>
    </xf>
    <xf numFmtId="0" fontId="9" fillId="0" borderId="0" xfId="53" applyNumberFormat="1" applyFont="1" applyAlignment="1">
      <alignment horizontal="left" vertical="center"/>
    </xf>
    <xf numFmtId="0" fontId="10" fillId="0" borderId="7" xfId="53" applyNumberFormat="1" applyFont="1" applyBorder="1" applyAlignment="1">
      <alignment horizontal="center" vertical="center" shrinkToFit="1"/>
    </xf>
    <xf numFmtId="49" fontId="10" fillId="0" borderId="7" xfId="53" applyNumberFormat="1" applyFont="1" applyFill="1" applyBorder="1" applyAlignment="1">
      <alignment horizontal="center" vertical="center" shrinkToFit="1"/>
    </xf>
    <xf numFmtId="0" fontId="0" fillId="0" borderId="0" xfId="53" applyNumberFormat="1" applyFont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11" fillId="4" borderId="0" xfId="0" applyNumberFormat="1" applyFont="1" applyFill="1" applyBorder="1" applyAlignment="1">
      <alignment horizontal="center" vertical="center" wrapText="1" shrinkToFit="1"/>
    </xf>
    <xf numFmtId="0" fontId="0" fillId="0" borderId="4" xfId="0" applyNumberFormat="1" applyFont="1" applyBorder="1" applyAlignment="1">
      <alignment horizontal="center" vertical="center" shrinkToFit="1"/>
    </xf>
    <xf numFmtId="0" fontId="0" fillId="0" borderId="5" xfId="0" applyNumberFormat="1" applyFont="1" applyBorder="1" applyAlignment="1">
      <alignment horizontal="center" vertical="center" shrinkToFit="1"/>
    </xf>
    <xf numFmtId="0" fontId="0" fillId="0" borderId="5" xfId="0" applyNumberFormat="1" applyFont="1" applyBorder="1" applyAlignment="1">
      <alignment horizontal="center" vertical="center" wrapText="1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5" fillId="0" borderId="5" xfId="0" applyNumberFormat="1" applyFont="1" applyFill="1" applyBorder="1" applyAlignment="1">
      <alignment horizontal="center" vertical="center" shrinkToFit="1"/>
    </xf>
    <xf numFmtId="0" fontId="4" fillId="0" borderId="5" xfId="11" applyNumberFormat="1" applyBorder="1" applyAlignment="1">
      <alignment vertical="center" shrinkToFit="1"/>
    </xf>
    <xf numFmtId="0" fontId="0" fillId="0" borderId="4" xfId="0" applyNumberFormat="1" applyBorder="1" applyAlignment="1">
      <alignment horizontal="center" vertical="center" shrinkToFit="1"/>
    </xf>
    <xf numFmtId="0" fontId="0" fillId="0" borderId="5" xfId="0" applyNumberFormat="1" applyBorder="1" applyAlignment="1">
      <alignment horizontal="center" vertical="center" shrinkToFit="1"/>
    </xf>
    <xf numFmtId="0" fontId="0" fillId="0" borderId="5" xfId="0" applyNumberFormat="1" applyBorder="1" applyAlignment="1">
      <alignment vertical="center" shrinkToFit="1"/>
    </xf>
    <xf numFmtId="0" fontId="0" fillId="0" borderId="8" xfId="0" applyNumberFormat="1" applyFont="1" applyBorder="1" applyAlignment="1">
      <alignment horizontal="center" vertical="center" shrinkToFit="1"/>
    </xf>
    <xf numFmtId="0" fontId="0" fillId="0" borderId="9" xfId="0" applyNumberFormat="1" applyFont="1" applyBorder="1" applyAlignment="1">
      <alignment horizontal="center" vertical="center" shrinkToFit="1"/>
    </xf>
    <xf numFmtId="0" fontId="2" fillId="0" borderId="9" xfId="0" applyNumberFormat="1" applyFont="1" applyBorder="1" applyAlignment="1">
      <alignment horizontal="center" vertical="center" shrinkToFit="1"/>
    </xf>
    <xf numFmtId="0" fontId="0" fillId="0" borderId="9" xfId="0" applyNumberFormat="1" applyFont="1" applyFill="1" applyBorder="1" applyAlignment="1">
      <alignment horizontal="center" vertical="center" shrinkToFit="1"/>
    </xf>
    <xf numFmtId="0" fontId="11" fillId="0" borderId="0" xfId="0" applyNumberFormat="1" applyFont="1" applyAlignment="1" applyProtection="1">
      <alignment horizontal="center" vertical="center" wrapText="1"/>
    </xf>
    <xf numFmtId="0" fontId="11" fillId="0" borderId="10" xfId="0" applyNumberFormat="1" applyFont="1" applyFill="1" applyBorder="1" applyAlignment="1">
      <alignment horizontal="center" vertical="center" shrinkToFit="1"/>
    </xf>
    <xf numFmtId="0" fontId="12" fillId="0" borderId="10" xfId="0" applyNumberFormat="1" applyFont="1" applyFill="1" applyBorder="1" applyAlignment="1">
      <alignment horizontal="center" vertical="center" shrinkToFit="1"/>
    </xf>
    <xf numFmtId="0" fontId="11" fillId="0" borderId="10" xfId="0" applyNumberFormat="1" applyFont="1" applyBorder="1" applyAlignment="1">
      <alignment horizontal="center" vertical="center" shrinkToFit="1"/>
    </xf>
    <xf numFmtId="0" fontId="12" fillId="0" borderId="10" xfId="0" applyNumberFormat="1" applyFont="1" applyBorder="1" applyAlignment="1">
      <alignment horizontal="center" vertical="center" shrinkToFit="1"/>
    </xf>
    <xf numFmtId="0" fontId="0" fillId="0" borderId="10" xfId="0" applyNumberFormat="1" applyBorder="1" applyAlignment="1">
      <alignment horizontal="center" vertical="center" shrinkToFit="1"/>
    </xf>
    <xf numFmtId="0" fontId="0" fillId="0" borderId="10" xfId="0" applyNumberFormat="1" applyFont="1" applyBorder="1" applyAlignment="1">
      <alignment horizontal="center" vertical="center" shrinkToFit="1"/>
    </xf>
    <xf numFmtId="0" fontId="0" fillId="0" borderId="10" xfId="0" applyNumberFormat="1" applyFill="1" applyBorder="1" applyAlignment="1">
      <alignment horizontal="center" vertical="center" shrinkToFit="1"/>
    </xf>
    <xf numFmtId="0" fontId="0" fillId="0" borderId="5" xfId="0" applyNumberFormat="1" applyFont="1" applyFill="1" applyBorder="1" applyAlignment="1">
      <alignment horizontal="center" vertical="center" wrapText="1" shrinkToFit="1"/>
    </xf>
    <xf numFmtId="0" fontId="2" fillId="0" borderId="4" xfId="0" applyNumberFormat="1" applyFont="1" applyFill="1" applyBorder="1" applyAlignment="1">
      <alignment horizontal="center" vertical="center" shrinkToFit="1"/>
    </xf>
    <xf numFmtId="0" fontId="0" fillId="0" borderId="5" xfId="0" applyNumberFormat="1" applyFill="1" applyBorder="1" applyAlignment="1">
      <alignment horizontal="center" vertical="center" shrinkToFit="1"/>
    </xf>
    <xf numFmtId="0" fontId="0" fillId="0" borderId="4" xfId="0" applyNumberFormat="1" applyFill="1" applyBorder="1" applyAlignment="1">
      <alignment horizontal="center" vertical="center" shrinkToFit="1"/>
    </xf>
    <xf numFmtId="0" fontId="11" fillId="0" borderId="0" xfId="0" applyNumberFormat="1" applyFont="1" applyFill="1" applyAlignment="1">
      <alignment horizontal="center" vertical="center" wrapText="1"/>
    </xf>
    <xf numFmtId="0" fontId="11" fillId="0" borderId="11" xfId="0" applyNumberFormat="1" applyFont="1" applyFill="1" applyBorder="1" applyAlignment="1">
      <alignment horizontal="center" vertical="center" shrinkToFit="1"/>
    </xf>
    <xf numFmtId="0" fontId="11" fillId="0" borderId="0" xfId="0" applyNumberFormat="1" applyFont="1" applyAlignment="1">
      <alignment horizontal="center" vertical="center" shrinkToFit="1"/>
    </xf>
    <xf numFmtId="0" fontId="5" fillId="0" borderId="0" xfId="0" applyNumberFormat="1" applyFont="1" applyFill="1" applyBorder="1" applyAlignment="1">
      <alignment horizontal="center" vertical="center" shrinkToFit="1"/>
    </xf>
    <xf numFmtId="0" fontId="11" fillId="0" borderId="0" xfId="0" applyNumberFormat="1" applyFont="1" applyFill="1" applyBorder="1" applyAlignment="1">
      <alignment horizontal="center" vertical="center" shrinkToFit="1"/>
    </xf>
    <xf numFmtId="0" fontId="11" fillId="0" borderId="0" xfId="0" applyNumberFormat="1" applyFont="1" applyFill="1" applyBorder="1" applyAlignment="1">
      <alignment horizontal="center" vertical="center" wrapText="1" shrinkToFit="1"/>
    </xf>
  </cellXfs>
  <cellStyles count="56">
    <cellStyle name="常规" xfId="0" builtinId="0"/>
    <cellStyle name="gcd 2" xfId="1"/>
    <cellStyle name="货币[0]" xfId="2" builtinId="7"/>
    <cellStyle name="20% - 强调文字颜色 3" xfId="3" builtinId="38"/>
    <cellStyle name="输入" xfId="4" builtinId="20"/>
    <cellStyle name="货币" xfId="5" builtinId="4"/>
    <cellStyle name="千位分隔[0]" xfId="6" builtin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常规 3 2" xfId="41"/>
    <cellStyle name="强调文字颜色 4" xfId="42" builtinId="41"/>
    <cellStyle name="20% - 强调文字颜色 4" xfId="43" builtinId="42"/>
    <cellStyle name="40% - 强调文字颜色 4" xfId="44" builtinId="43"/>
    <cellStyle name="强调文字颜色 5" xfId="45" builtinId="45"/>
    <cellStyle name="40% - 强调文字颜色 5" xfId="46" builtinId="47"/>
    <cellStyle name="60% - 强调文字颜色 5" xfId="47" builtinId="48"/>
    <cellStyle name="强调文字颜色 6" xfId="48" builtinId="49"/>
    <cellStyle name="40% - 强调文字颜色 6" xfId="49" builtinId="51"/>
    <cellStyle name="60% - 强调文字颜色 6" xfId="50" builtinId="52"/>
    <cellStyle name="gcd" xfId="51"/>
    <cellStyle name="常规 2" xfId="52"/>
    <cellStyle name="常规 3" xfId="53"/>
    <cellStyle name="常规 4" xfId="54"/>
    <cellStyle name="超链接 2" xfId="55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connections" Target="connections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0</xdr:row>
          <xdr:rowOff>0</xdr:rowOff>
        </xdr:from>
        <xdr:to>
          <xdr:col>8</xdr:col>
          <xdr:colOff>22860</xdr:colOff>
          <xdr:row>2</xdr:row>
          <xdr:rowOff>0</xdr:rowOff>
        </xdr:to>
        <xdr:sp macro="[0]!UploadExcel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6874510" y="0"/>
              <a:ext cx="1039495" cy="36576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198120</xdr:colOff>
          <xdr:row>0</xdr:row>
          <xdr:rowOff>0</xdr:rowOff>
        </xdr:from>
        <xdr:to>
          <xdr:col>7</xdr:col>
          <xdr:colOff>152400</xdr:colOff>
          <xdr:row>2</xdr:row>
          <xdr:rowOff>0</xdr:rowOff>
        </xdr:to>
        <xdr:sp macro="[0]!UpdateBySheet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5981065" y="0"/>
              <a:ext cx="1038225" cy="36576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2</xdr:row>
          <xdr:rowOff>7620</xdr:rowOff>
        </xdr:from>
        <xdr:to>
          <xdr:col>8</xdr:col>
          <xdr:colOff>15240</xdr:colOff>
          <xdr:row>3</xdr:row>
          <xdr:rowOff>91440</xdr:rowOff>
        </xdr:to>
        <xdr:sp macro="[0]!点击单元格的数据">
          <xdr:nvSpPr>
            <xdr:cNvPr id="9242" name="Button 26" hidden="1">
              <a:extLst>
                <a:ext uri="{63B3BB69-23CF-44E3-9099-C40C66FF867C}">
                  <a14:compatExt spid="_x0000_s9242"/>
                </a:ext>
              </a:extLst>
            </xdr:cNvPr>
            <xdr:cNvSpPr/>
          </xdr:nvSpPr>
          <xdr:spPr>
            <a:xfrm>
              <a:off x="7019290" y="373380"/>
              <a:ext cx="887095" cy="30289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查看单元格文件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198120</xdr:colOff>
          <xdr:row>2</xdr:row>
          <xdr:rowOff>7620</xdr:rowOff>
        </xdr:from>
        <xdr:to>
          <xdr:col>7</xdr:col>
          <xdr:colOff>152400</xdr:colOff>
          <xdr:row>3</xdr:row>
          <xdr:rowOff>83820</xdr:rowOff>
        </xdr:to>
        <xdr:sp macro="[0]!表格网络上传文件">
          <xdr:nvSpPr>
            <xdr:cNvPr id="9248" name="Button 27" hidden="1">
              <a:extLst>
                <a:ext uri="{63B3BB69-23CF-44E3-9099-C40C66FF867C}">
                  <a14:compatExt spid="_x0000_s9248"/>
                </a:ext>
              </a:extLst>
            </xdr:cNvPr>
            <xdr:cNvSpPr/>
          </xdr:nvSpPr>
          <xdr:spPr>
            <a:xfrm>
              <a:off x="5981065" y="373380"/>
              <a:ext cx="1038225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单元格上传附件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2</xdr:row>
          <xdr:rowOff>175260</xdr:rowOff>
        </xdr:from>
        <xdr:to>
          <xdr:col>3</xdr:col>
          <xdr:colOff>7620</xdr:colOff>
          <xdr:row>5</xdr:row>
          <xdr:rowOff>38100</xdr:rowOff>
        </xdr:to>
        <xdr:sp macro="[0]!UpdateBySheet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342900" y="514350"/>
              <a:ext cx="2314575" cy="38100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更新现有数据库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0</xdr:row>
          <xdr:rowOff>0</xdr:rowOff>
        </xdr:from>
        <xdr:to>
          <xdr:col>7</xdr:col>
          <xdr:colOff>861060</xdr:colOff>
          <xdr:row>2</xdr:row>
          <xdr:rowOff>0</xdr:rowOff>
        </xdr:to>
        <xdr:sp macro="[0]!UploadExcel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6764020" y="0"/>
              <a:ext cx="853440" cy="35433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198120</xdr:colOff>
          <xdr:row>0</xdr:row>
          <xdr:rowOff>0</xdr:rowOff>
        </xdr:from>
        <xdr:to>
          <xdr:col>7</xdr:col>
          <xdr:colOff>0</xdr:colOff>
          <xdr:row>2</xdr:row>
          <xdr:rowOff>0</xdr:rowOff>
        </xdr:to>
        <xdr:sp macro="[0]!UpdateBySheet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5904865" y="0"/>
              <a:ext cx="851535" cy="35433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999" adjustColumnWidth="0" connectionId="28" autoFormatId="16" applyNumberFormats="0" applyBorderFormats="0" applyFontFormats="1" applyPatternFormats="1" applyAlignmentFormats="0" applyWidthHeightFormats="0">
  <queryTableRefresh preserveSortFilterLayout="1" nextId="10">
    <queryTableFields count="9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</queryTableFields>
  </queryTableRefresh>
</queryTable>
</file>

<file path=xl/queryTables/queryTable2.xml><?xml version="1.0" encoding="utf-8"?>
<queryTable xmlns="http://schemas.openxmlformats.org/spreadsheetml/2006/main" name="ExternalData_1092" adjustColumnWidth="0" connectionId="1" autoFormatId="16" applyNumberFormats="0" applyBorderFormats="0" applyFontFormats="1" applyPatternFormats="1" applyAlignmentFormats="0" applyWidthHeightFormats="0">
  <queryTableRefresh preserveSortFilterLayout="1" nextId="24">
    <queryTableFields count="23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</queryTableFields>
  </queryTableRefresh>
</queryTable>
</file>

<file path=xl/queryTables/queryTable3.xml><?xml version="1.0" encoding="utf-8"?>
<queryTable xmlns="http://schemas.openxmlformats.org/spreadsheetml/2006/main" name="ExternalData_926" adjustColumnWidth="0" connectionId="20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</queryTableFields>
  </queryTableRefresh>
</queryTable>
</file>

<file path=xl/queryTables/queryTable4.xml><?xml version="1.0" encoding="utf-8"?>
<queryTable xmlns="http://schemas.openxmlformats.org/spreadsheetml/2006/main" name="ExternalData_993" adjustColumnWidth="0" connectionId="30" autoFormatId="16" applyNumberFormats="0" applyBorderFormats="0" applyFontFormats="1" applyPatternFormats="1" applyAlignmentFormats="0" applyWidthHeightFormats="0">
  <queryTableRefresh preserveSortFilterLayout="1" nextId="10">
    <queryTableFields count="9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</queryTableFields>
  </queryTableRefresh>
</queryTable>
</file>

<file path=xl/queryTables/queryTable5.xml><?xml version="1.0" encoding="utf-8"?>
<queryTable xmlns="http://schemas.openxmlformats.org/spreadsheetml/2006/main" name="ExternalData_1003" adjustColumnWidth="0" connectionId="25" autoFormatId="16" applyNumberFormats="0" applyBorderFormats="0" applyFontFormats="1" applyPatternFormats="1" applyAlignmentFormats="0" applyWidthHeightFormats="0">
  <queryTableRefresh preserveSortFilterLayout="1" nextId="10">
    <queryTableFields count="9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</queryTableFields>
  </queryTableRefresh>
</queryTable>
</file>

<file path=xl/queryTables/queryTable6.xml><?xml version="1.0" encoding="utf-8"?>
<queryTable xmlns="http://schemas.openxmlformats.org/spreadsheetml/2006/main" name="ExternalData_989" adjustColumnWidth="0" connectionId="2" autoFormatId="16" applyNumberFormats="0" applyBorderFormats="0" applyFontFormats="1" applyPatternFormats="1" applyAlignmentFormats="0" applyWidthHeightFormats="0">
  <queryTableRefresh preserveSortFilterLayout="1" nextId="10">
    <queryTableFields count="9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</queryTableFields>
  </queryTableRefresh>
</queryTable>
</file>

<file path=xl/queryTables/queryTable7.xml><?xml version="1.0" encoding="utf-8"?>
<queryTable xmlns="http://schemas.openxmlformats.org/spreadsheetml/2006/main" name="ExternalData_984" adjustColumnWidth="0" connectionId="14" autoFormatId="16" applyNumberFormats="0" applyBorderFormats="0" applyFontFormats="1" applyPatternFormats="1" applyAlignmentFormats="0" applyWidthHeightFormats="0">
  <queryTableRefresh preserveSortFilterLayout="1" nextId="2">
    <queryTableFields count="1">
      <queryTableField id="1" dataBound="0"/>
    </queryTableFields>
  </queryTableRefresh>
</queryTable>
</file>

<file path=xl/queryTables/queryTable8.xml><?xml version="1.0" encoding="utf-8"?>
<queryTable xmlns="http://schemas.openxmlformats.org/spreadsheetml/2006/main" name="ExternalData_22" adjustColumnWidth="0" connectionId="2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9.xml><?xml version="1.0" encoding="utf-8"?>
<queryTable xmlns="http://schemas.openxmlformats.org/spreadsheetml/2006/main" name="ExternalData_26" adjustColumnWidth="0" connectionId="5" autoFormatId="16" applyNumberFormats="0" applyBorderFormats="0" applyFontFormats="1" applyPatternFormats="1" applyAlignmentFormats="0" applyWidthHeightFormats="0">
  <queryTableRefresh preserveSortFilterLayout="0" nextId="63">
    <queryTableFields count="6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  <queryTableField id="24" dataBound="0"/>
      <queryTableField id="25" dataBound="0"/>
      <queryTableField id="26" dataBound="0"/>
      <queryTableField id="27" dataBound="0"/>
      <queryTableField id="28" dataBound="0"/>
      <queryTableField id="29" dataBound="0"/>
      <queryTableField id="30" dataBound="0"/>
      <queryTableField id="31" dataBound="0"/>
      <queryTableField id="32" dataBound="0"/>
      <queryTableField id="33" dataBound="0"/>
      <queryTableField id="34" dataBound="0"/>
      <queryTableField id="35" dataBound="0"/>
      <queryTableField id="36" dataBound="0"/>
      <queryTableField id="37" dataBound="0"/>
      <queryTableField id="38" dataBound="0"/>
      <queryTableField id="39" dataBound="0"/>
      <queryTableField id="40" dataBound="0"/>
      <queryTableField id="41" dataBound="0"/>
      <queryTableField id="42" dataBound="0"/>
      <queryTableField id="43" dataBound="0"/>
      <queryTableField id="44" dataBound="0"/>
      <queryTableField id="45" dataBound="0"/>
      <queryTableField id="46" dataBound="0"/>
      <queryTableField id="47" dataBound="0"/>
      <queryTableField id="48" dataBound="0"/>
      <queryTableField id="49" dataBound="0"/>
      <queryTableField id="50" dataBound="0"/>
      <queryTableField id="51" dataBound="0"/>
      <queryTableField id="52" dataBound="0"/>
      <queryTableField id="53" dataBound="0"/>
      <queryTableField id="54" dataBound="0"/>
      <queryTableField id="55" dataBound="0"/>
      <queryTableField id="56" dataBound="0"/>
      <queryTableField id="57" dataBound="0"/>
      <queryTableField id="58" dataBound="0"/>
      <queryTableField id="59" dataBound="0"/>
      <queryTableField id="60" dataBound="0"/>
      <queryTableField id="61" dataBound="0"/>
      <queryTableField id="62" dataBound="0"/>
    </queryTableFields>
  </queryTableRefresh>
</queryTable>
</file>

<file path=xl/queryTables/queryTable10.xml><?xml version="1.0" encoding="utf-8"?>
<queryTable xmlns="http://schemas.openxmlformats.org/spreadsheetml/2006/main" name="ExternalData_30" adjustColumnWidth="0" connectionId="10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1.xml><?xml version="1.0" encoding="utf-8"?>
<queryTable xmlns="http://schemas.openxmlformats.org/spreadsheetml/2006/main" name="ExternalData_31" adjustColumnWidth="0" connectionId="1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2.xml><?xml version="1.0" encoding="utf-8"?>
<queryTable xmlns="http://schemas.openxmlformats.org/spreadsheetml/2006/main" name="ExternalData_32" adjustColumnWidth="0" connectionId="1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3.xml><?xml version="1.0" encoding="utf-8"?>
<queryTable xmlns="http://schemas.openxmlformats.org/spreadsheetml/2006/main" name="ExternalData_27" adjustColumnWidth="0" connectionId="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4.xml><?xml version="1.0" encoding="utf-8"?>
<queryTable xmlns="http://schemas.openxmlformats.org/spreadsheetml/2006/main" name="ExternalData_2" adjustColumnWidth="0" connectionId="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5.xml><?xml version="1.0" encoding="utf-8"?>
<queryTable xmlns="http://schemas.openxmlformats.org/spreadsheetml/2006/main" name="ExternalData_6" adjustColumnWidth="0" connectionId="16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16.xml><?xml version="1.0" encoding="utf-8"?>
<queryTable xmlns="http://schemas.openxmlformats.org/spreadsheetml/2006/main" name="ExternalData_24" adjustColumnWidth="0" connectionId="2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7.xml><?xml version="1.0" encoding="utf-8"?>
<queryTable xmlns="http://schemas.openxmlformats.org/spreadsheetml/2006/main" name="ExternalData_5" adjustColumnWidth="0" connectionId="15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18.xml><?xml version="1.0" encoding="utf-8"?>
<queryTable xmlns="http://schemas.openxmlformats.org/spreadsheetml/2006/main" name="ExternalData_1" adjustColumnWidth="0" connectionId="3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19.xml><?xml version="1.0" encoding="utf-8"?>
<queryTable xmlns="http://schemas.openxmlformats.org/spreadsheetml/2006/main" name="ExternalData_23" adjustColumnWidth="0" connectionId="2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0.xml><?xml version="1.0" encoding="utf-8"?>
<queryTable xmlns="http://schemas.openxmlformats.org/spreadsheetml/2006/main" name="ExternalData_3" adjustColumnWidth="0" connectionId="8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21.xml><?xml version="1.0" encoding="utf-8"?>
<queryTable xmlns="http://schemas.openxmlformats.org/spreadsheetml/2006/main" name="ExternalData_10" adjustColumnWidth="0" connectionId="2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2.xml><?xml version="1.0" encoding="utf-8"?>
<queryTable xmlns="http://schemas.openxmlformats.org/spreadsheetml/2006/main" name="ExternalData_28" adjustColumnWidth="0" connectionId="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3.xml><?xml version="1.0" encoding="utf-8"?>
<queryTable xmlns="http://schemas.openxmlformats.org/spreadsheetml/2006/main" name="ExternalData_4" adjustColumnWidth="0" connectionId="11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24.xml><?xml version="1.0" encoding="utf-8"?>
<queryTable xmlns="http://schemas.openxmlformats.org/spreadsheetml/2006/main" name="ExternalData_7" adjustColumnWidth="0" connectionId="1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5.xml><?xml version="1.0" encoding="utf-8"?>
<queryTable xmlns="http://schemas.openxmlformats.org/spreadsheetml/2006/main" name="ExternalData_29" adjustColumnWidth="0" connectionId="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6.xml><?xml version="1.0" encoding="utf-8"?>
<queryTable xmlns="http://schemas.openxmlformats.org/spreadsheetml/2006/main" name="ExternalData_9" adjustColumnWidth="0" connectionId="1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7.xml><?xml version="1.0" encoding="utf-8"?>
<queryTable xmlns="http://schemas.openxmlformats.org/spreadsheetml/2006/main" name="ExternalData_11" adjustColumnWidth="0" connectionId="2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8.xml><?xml version="1.0" encoding="utf-8"?>
<queryTable xmlns="http://schemas.openxmlformats.org/spreadsheetml/2006/main" name="ExternalData_13" adjustColumnWidth="0" connectionId="2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9.xml><?xml version="1.0" encoding="utf-8"?>
<queryTable xmlns="http://schemas.openxmlformats.org/spreadsheetml/2006/main" name="ExternalData_12" adjustColumnWidth="0" connectionId="2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0.xml><?xml version="1.0" encoding="utf-8"?>
<queryTable xmlns="http://schemas.openxmlformats.org/spreadsheetml/2006/main" name="ExternalData_8" adjustColumnWidth="0" connectionId="1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queryTable" Target="../queryTables/queryTable1.xml"/><Relationship Id="rId8" Type="http://schemas.openxmlformats.org/officeDocument/2006/relationships/hyperlink" Target="http://hk.r34.cc/" TargetMode="External"/><Relationship Id="rId7" Type="http://schemas.openxmlformats.org/officeDocument/2006/relationships/ctrlProp" Target="../ctrlProps/ctrlProp4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5" Type="http://schemas.openxmlformats.org/officeDocument/2006/relationships/queryTable" Target="../queryTables/queryTable7.xml"/><Relationship Id="rId14" Type="http://schemas.openxmlformats.org/officeDocument/2006/relationships/queryTable" Target="../queryTables/queryTable6.xml"/><Relationship Id="rId13" Type="http://schemas.openxmlformats.org/officeDocument/2006/relationships/queryTable" Target="../queryTables/queryTable5.xml"/><Relationship Id="rId12" Type="http://schemas.openxmlformats.org/officeDocument/2006/relationships/queryTable" Target="../queryTables/queryTable4.xml"/><Relationship Id="rId11" Type="http://schemas.openxmlformats.org/officeDocument/2006/relationships/queryTable" Target="../queryTables/queryTable3.xml"/><Relationship Id="rId10" Type="http://schemas.openxmlformats.org/officeDocument/2006/relationships/queryTable" Target="../queryTables/queryTable2.x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queryTable" Target="../queryTables/queryTable12.xml"/><Relationship Id="rId8" Type="http://schemas.openxmlformats.org/officeDocument/2006/relationships/queryTable" Target="../queryTables/queryTable11.xml"/><Relationship Id="rId7" Type="http://schemas.openxmlformats.org/officeDocument/2006/relationships/queryTable" Target="../queryTables/queryTable10.xml"/><Relationship Id="rId6" Type="http://schemas.openxmlformats.org/officeDocument/2006/relationships/queryTable" Target="../queryTables/queryTable9.xml"/><Relationship Id="rId5" Type="http://schemas.openxmlformats.org/officeDocument/2006/relationships/queryTable" Target="../queryTables/queryTable8.xml"/><Relationship Id="rId4" Type="http://schemas.openxmlformats.org/officeDocument/2006/relationships/hyperlink" Target="http://api.r34.cc/index.php/Qwadmin/Rwxy/echosheetname?" TargetMode="External"/><Relationship Id="rId3" Type="http://schemas.openxmlformats.org/officeDocument/2006/relationships/ctrlProp" Target="../ctrlProps/ctrlProp5.xml"/><Relationship Id="rId27" Type="http://schemas.openxmlformats.org/officeDocument/2006/relationships/queryTable" Target="../queryTables/queryTable30.xml"/><Relationship Id="rId26" Type="http://schemas.openxmlformats.org/officeDocument/2006/relationships/queryTable" Target="../queryTables/queryTable29.xml"/><Relationship Id="rId25" Type="http://schemas.openxmlformats.org/officeDocument/2006/relationships/queryTable" Target="../queryTables/queryTable28.xml"/><Relationship Id="rId24" Type="http://schemas.openxmlformats.org/officeDocument/2006/relationships/queryTable" Target="../queryTables/queryTable27.xml"/><Relationship Id="rId23" Type="http://schemas.openxmlformats.org/officeDocument/2006/relationships/queryTable" Target="../queryTables/queryTable26.xml"/><Relationship Id="rId22" Type="http://schemas.openxmlformats.org/officeDocument/2006/relationships/queryTable" Target="../queryTables/queryTable25.xml"/><Relationship Id="rId21" Type="http://schemas.openxmlformats.org/officeDocument/2006/relationships/queryTable" Target="../queryTables/queryTable24.xml"/><Relationship Id="rId20" Type="http://schemas.openxmlformats.org/officeDocument/2006/relationships/queryTable" Target="../queryTables/queryTable23.xml"/><Relationship Id="rId2" Type="http://schemas.openxmlformats.org/officeDocument/2006/relationships/vmlDrawing" Target="../drawings/vmlDrawing2.vml"/><Relationship Id="rId19" Type="http://schemas.openxmlformats.org/officeDocument/2006/relationships/queryTable" Target="../queryTables/queryTable22.xml"/><Relationship Id="rId18" Type="http://schemas.openxmlformats.org/officeDocument/2006/relationships/queryTable" Target="../queryTables/queryTable21.xml"/><Relationship Id="rId17" Type="http://schemas.openxmlformats.org/officeDocument/2006/relationships/queryTable" Target="../queryTables/queryTable20.xml"/><Relationship Id="rId16" Type="http://schemas.openxmlformats.org/officeDocument/2006/relationships/queryTable" Target="../queryTables/queryTable19.xml"/><Relationship Id="rId15" Type="http://schemas.openxmlformats.org/officeDocument/2006/relationships/queryTable" Target="../queryTables/queryTable18.xml"/><Relationship Id="rId14" Type="http://schemas.openxmlformats.org/officeDocument/2006/relationships/queryTable" Target="../queryTables/queryTable17.xml"/><Relationship Id="rId13" Type="http://schemas.openxmlformats.org/officeDocument/2006/relationships/queryTable" Target="../queryTables/queryTable16.xml"/><Relationship Id="rId12" Type="http://schemas.openxmlformats.org/officeDocument/2006/relationships/queryTable" Target="../queryTables/queryTable15.xml"/><Relationship Id="rId11" Type="http://schemas.openxmlformats.org/officeDocument/2006/relationships/queryTable" Target="../queryTables/queryTable14.xml"/><Relationship Id="rId10" Type="http://schemas.openxmlformats.org/officeDocument/2006/relationships/queryTable" Target="../queryTables/queryTable13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BC37"/>
  <sheetViews>
    <sheetView tabSelected="1" zoomScale="145" zoomScaleNormal="145" workbookViewId="0">
      <selection activeCell="J24" sqref="J24"/>
    </sheetView>
  </sheetViews>
  <sheetFormatPr defaultColWidth="9" defaultRowHeight="13.5"/>
  <cols>
    <col min="1" max="1" width="11.225" style="1" customWidth="1"/>
    <col min="2" max="2" width="9" style="1" customWidth="1"/>
    <col min="3" max="3" width="8" style="1" customWidth="1"/>
    <col min="4" max="4" width="26" style="1" customWidth="1"/>
    <col min="5" max="5" width="12.6666666666667" style="2" customWidth="1"/>
    <col min="6" max="6" width="9" style="1" customWidth="1"/>
    <col min="7" max="7" width="14.225" style="1" customWidth="1"/>
    <col min="8" max="8" width="13.4416666666667" style="1" customWidth="1"/>
    <col min="9" max="9" width="14.8916666666667" style="1" customWidth="1"/>
    <col min="10" max="10" width="11.4416666666667" style="1" customWidth="1"/>
    <col min="11" max="11" width="7.89166666666667" style="1" customWidth="1"/>
    <col min="12" max="12" width="7.44166666666667" style="1" customWidth="1"/>
    <col min="13" max="13" width="9.775" style="1" customWidth="1"/>
    <col min="14" max="14" width="11" style="1" customWidth="1"/>
    <col min="15" max="15" width="11.775" style="1" customWidth="1"/>
    <col min="16" max="16" width="7.44166666666667" style="1" customWidth="1"/>
    <col min="17" max="17" width="8" style="1" customWidth="1"/>
    <col min="18" max="18" width="7.775" style="1" customWidth="1"/>
    <col min="19" max="19" width="6.33333333333333" style="1" customWidth="1"/>
    <col min="20" max="20" width="9" style="1"/>
    <col min="21" max="27" width="8.10833333333333" style="1" customWidth="1"/>
    <col min="28" max="16384" width="9" style="1"/>
  </cols>
  <sheetData>
    <row r="1" ht="14.4" customHeight="1" spans="1:16">
      <c r="A1" s="3" t="s">
        <v>0</v>
      </c>
      <c r="B1" s="4" t="s">
        <v>1</v>
      </c>
      <c r="C1" s="5" t="s">
        <v>2</v>
      </c>
      <c r="D1" s="6"/>
      <c r="E1" s="7" t="s">
        <v>3</v>
      </c>
      <c r="F1" s="5" t="s">
        <v>4</v>
      </c>
      <c r="I1" s="7" t="s">
        <v>5</v>
      </c>
      <c r="J1" s="8" t="s">
        <v>6</v>
      </c>
      <c r="K1" s="9"/>
      <c r="L1" s="10" t="s">
        <v>7</v>
      </c>
      <c r="M1" s="11" t="s">
        <v>8</v>
      </c>
      <c r="N1" s="9"/>
      <c r="O1" s="9"/>
      <c r="P1" s="12"/>
    </row>
    <row r="2" ht="14.4" customHeight="1" spans="1:16">
      <c r="A2" s="60"/>
      <c r="B2" s="12"/>
      <c r="C2" s="61"/>
      <c r="D2" s="58"/>
      <c r="E2" s="7" t="s">
        <v>9</v>
      </c>
      <c r="F2" s="5" t="s">
        <v>4</v>
      </c>
      <c r="G2" s="12"/>
      <c r="H2" s="9"/>
      <c r="I2" s="7" t="s">
        <v>10</v>
      </c>
      <c r="J2" s="11" t="s">
        <v>11</v>
      </c>
      <c r="K2" s="9"/>
      <c r="L2" s="10" t="s">
        <v>12</v>
      </c>
      <c r="M2" s="11"/>
      <c r="N2" s="9"/>
      <c r="O2" s="9"/>
      <c r="P2" s="12"/>
    </row>
    <row r="3" ht="17.25" customHeight="1" spans="1:17">
      <c r="A3" s="60"/>
      <c r="B3" s="12"/>
      <c r="C3" s="62"/>
      <c r="D3" s="63"/>
      <c r="E3" s="7" t="s">
        <v>13</v>
      </c>
      <c r="F3" s="61"/>
      <c r="G3" s="12"/>
      <c r="H3" s="9"/>
      <c r="I3" s="7" t="s">
        <v>14</v>
      </c>
      <c r="J3" s="81" t="s">
        <v>15</v>
      </c>
      <c r="K3" s="9"/>
      <c r="L3" s="82" t="s">
        <v>16</v>
      </c>
      <c r="M3" s="11"/>
      <c r="N3" s="9"/>
      <c r="O3" s="9"/>
      <c r="P3" s="12"/>
      <c r="Q3" s="88"/>
    </row>
    <row r="4" ht="14.4" customHeight="1" spans="1:17">
      <c r="A4" s="60"/>
      <c r="B4" s="12"/>
      <c r="C4" s="64"/>
      <c r="D4" s="63"/>
      <c r="E4" s="7" t="s">
        <v>17</v>
      </c>
      <c r="F4" s="61"/>
      <c r="G4" s="12"/>
      <c r="H4" s="9"/>
      <c r="I4" s="7"/>
      <c r="J4" s="83"/>
      <c r="K4" s="9"/>
      <c r="L4" s="82" t="s">
        <v>18</v>
      </c>
      <c r="M4" s="11"/>
      <c r="N4" s="9"/>
      <c r="O4" s="9"/>
      <c r="P4" s="12"/>
      <c r="Q4" s="12"/>
    </row>
    <row r="5" ht="14.4" customHeight="1" spans="1:17">
      <c r="A5" s="60"/>
      <c r="B5" s="12"/>
      <c r="C5" s="61"/>
      <c r="D5" s="63"/>
      <c r="E5" s="7" t="s">
        <v>19</v>
      </c>
      <c r="F5" s="65" t="s">
        <v>20</v>
      </c>
      <c r="G5" s="12"/>
      <c r="H5" s="9"/>
      <c r="I5" s="82" t="s">
        <v>21</v>
      </c>
      <c r="J5" s="11" t="s">
        <v>22</v>
      </c>
      <c r="K5" s="9"/>
      <c r="L5" s="82" t="s">
        <v>23</v>
      </c>
      <c r="M5" s="11" t="s">
        <v>24</v>
      </c>
      <c r="N5" s="9"/>
      <c r="O5" s="9"/>
      <c r="P5" s="12"/>
      <c r="Q5" s="12"/>
    </row>
    <row r="6" ht="14.4" customHeight="1" spans="1:17">
      <c r="A6" s="60"/>
      <c r="B6" s="12"/>
      <c r="C6" s="61"/>
      <c r="D6" s="58"/>
      <c r="E6" s="66"/>
      <c r="F6" s="67"/>
      <c r="G6" s="12"/>
      <c r="H6" s="9"/>
      <c r="I6" s="82" t="s">
        <v>25</v>
      </c>
      <c r="J6" s="11" t="s">
        <v>22</v>
      </c>
      <c r="K6" s="12"/>
      <c r="L6" s="82" t="s">
        <v>26</v>
      </c>
      <c r="M6" s="11" t="s">
        <v>27</v>
      </c>
      <c r="N6" s="9"/>
      <c r="O6" s="9"/>
      <c r="P6" s="12"/>
      <c r="Q6" s="12"/>
    </row>
    <row r="7" ht="14.4" customHeight="1" spans="1:15">
      <c r="A7" s="60"/>
      <c r="B7" s="12"/>
      <c r="C7" s="61"/>
      <c r="D7" s="58"/>
      <c r="E7" s="66"/>
      <c r="F7" s="67"/>
      <c r="G7" s="9"/>
      <c r="H7" s="9"/>
      <c r="I7" s="84"/>
      <c r="J7" s="83"/>
      <c r="K7" s="9"/>
      <c r="L7" s="10" t="s">
        <v>28</v>
      </c>
      <c r="M7" s="11"/>
      <c r="N7" s="9"/>
      <c r="O7" s="9"/>
    </row>
    <row r="8" ht="14.4" hidden="1" customHeight="1" spans="1:15">
      <c r="A8" s="60"/>
      <c r="B8" s="12"/>
      <c r="C8" s="67"/>
      <c r="D8" s="63"/>
      <c r="E8" s="66"/>
      <c r="F8" s="67"/>
      <c r="G8" s="9"/>
      <c r="H8" s="9"/>
      <c r="I8" s="84"/>
      <c r="J8" s="83"/>
      <c r="K8" s="9"/>
      <c r="L8" s="84"/>
      <c r="M8" s="83"/>
      <c r="N8" s="9"/>
      <c r="O8" s="9"/>
    </row>
    <row r="9" ht="14.4" hidden="1" customHeight="1" spans="1:15">
      <c r="A9" s="60"/>
      <c r="B9" s="12"/>
      <c r="C9" s="61"/>
      <c r="D9" s="63"/>
      <c r="E9" s="7"/>
      <c r="F9" s="68"/>
      <c r="G9" s="9"/>
      <c r="H9" s="9"/>
      <c r="I9" s="84"/>
      <c r="J9" s="83"/>
      <c r="K9" s="9"/>
      <c r="L9" s="84"/>
      <c r="M9" s="83"/>
      <c r="N9" s="9"/>
      <c r="O9" s="9"/>
    </row>
    <row r="10" ht="14.4" hidden="1" customHeight="1" spans="1:15">
      <c r="A10" s="60"/>
      <c r="B10" s="12"/>
      <c r="C10" s="61"/>
      <c r="D10" s="63"/>
      <c r="E10" s="7"/>
      <c r="F10" s="68"/>
      <c r="G10" s="9"/>
      <c r="H10" s="9"/>
      <c r="I10" s="84"/>
      <c r="J10" s="83"/>
      <c r="K10" s="9"/>
      <c r="L10" s="84"/>
      <c r="M10" s="83"/>
      <c r="N10" s="9"/>
      <c r="O10" s="9"/>
    </row>
    <row r="11" ht="14.4" hidden="1" customHeight="1" spans="1:15">
      <c r="A11" s="60"/>
      <c r="B11" s="12"/>
      <c r="C11" s="67"/>
      <c r="D11" s="63"/>
      <c r="E11" s="7"/>
      <c r="F11" s="68"/>
      <c r="G11" s="9"/>
      <c r="H11" s="9"/>
      <c r="I11" s="84"/>
      <c r="J11" s="11"/>
      <c r="K11" s="9"/>
      <c r="L11" s="84"/>
      <c r="M11" s="83"/>
      <c r="N11" s="9"/>
      <c r="O11" s="9"/>
    </row>
    <row r="12" ht="14.4" hidden="1" customHeight="1" spans="1:15">
      <c r="A12" s="60"/>
      <c r="B12" s="12"/>
      <c r="C12" s="67"/>
      <c r="D12" s="63"/>
      <c r="E12" s="7"/>
      <c r="F12" s="68"/>
      <c r="G12" s="9"/>
      <c r="H12" s="9"/>
      <c r="I12" s="84"/>
      <c r="J12" s="11"/>
      <c r="K12" s="9"/>
      <c r="L12" s="84"/>
      <c r="M12" s="83"/>
      <c r="N12" s="9"/>
      <c r="O12" s="9"/>
    </row>
    <row r="13" ht="14.4" hidden="1" customHeight="1" spans="1:15">
      <c r="A13" s="60"/>
      <c r="B13" s="12"/>
      <c r="C13" s="67"/>
      <c r="D13" s="63"/>
      <c r="E13" s="7"/>
      <c r="F13" s="68"/>
      <c r="G13" s="9"/>
      <c r="H13" s="9"/>
      <c r="I13" s="84"/>
      <c r="J13" s="11"/>
      <c r="K13" s="9"/>
      <c r="L13" s="84"/>
      <c r="M13" s="83"/>
      <c r="N13" s="9"/>
      <c r="O13" s="9"/>
    </row>
    <row r="14" ht="14.4" hidden="1" customHeight="1" spans="1:15">
      <c r="A14" s="60"/>
      <c r="B14" s="12"/>
      <c r="C14" s="67"/>
      <c r="D14" s="63"/>
      <c r="E14" s="7"/>
      <c r="F14" s="68"/>
      <c r="G14" s="9"/>
      <c r="H14" s="9"/>
      <c r="I14" s="84"/>
      <c r="J14" s="11"/>
      <c r="K14" s="9"/>
      <c r="L14" s="84"/>
      <c r="M14" s="83"/>
      <c r="N14" s="9"/>
      <c r="O14" s="9"/>
    </row>
    <row r="15" ht="14.4" hidden="1" customHeight="1" spans="1:15">
      <c r="A15" s="60"/>
      <c r="B15" s="12"/>
      <c r="C15" s="67"/>
      <c r="D15" s="63"/>
      <c r="E15" s="7"/>
      <c r="F15" s="68"/>
      <c r="G15" s="9"/>
      <c r="H15" s="9"/>
      <c r="I15" s="84"/>
      <c r="J15" s="11"/>
      <c r="K15" s="9"/>
      <c r="L15" s="84"/>
      <c r="M15" s="83"/>
      <c r="N15" s="9"/>
      <c r="O15" s="9"/>
    </row>
    <row r="16" ht="14.4" hidden="1" customHeight="1" spans="1:15">
      <c r="A16" s="60"/>
      <c r="B16" s="12"/>
      <c r="C16" s="67"/>
      <c r="D16" s="63"/>
      <c r="E16" s="7"/>
      <c r="F16" s="68"/>
      <c r="G16" s="9"/>
      <c r="H16" s="9"/>
      <c r="I16" s="84"/>
      <c r="J16" s="11"/>
      <c r="K16" s="9"/>
      <c r="L16" s="84"/>
      <c r="M16" s="83"/>
      <c r="N16" s="9"/>
      <c r="O16" s="9"/>
    </row>
    <row r="17" ht="14.4" hidden="1" customHeight="1" spans="1:15">
      <c r="A17" s="60"/>
      <c r="B17" s="12"/>
      <c r="C17" s="67"/>
      <c r="D17" s="63"/>
      <c r="E17" s="7"/>
      <c r="F17" s="68"/>
      <c r="G17" s="9"/>
      <c r="H17" s="9"/>
      <c r="I17" s="84"/>
      <c r="J17" s="11"/>
      <c r="K17" s="9"/>
      <c r="L17" s="84"/>
      <c r="M17" s="83"/>
      <c r="N17" s="9"/>
      <c r="O17" s="9"/>
    </row>
    <row r="18" ht="14.4" customHeight="1" spans="1:15">
      <c r="A18" s="69" t="s">
        <v>29</v>
      </c>
      <c r="B18" s="69" t="s">
        <v>29</v>
      </c>
      <c r="C18" s="70" t="s">
        <v>29</v>
      </c>
      <c r="D18" s="63"/>
      <c r="E18" s="71" t="s">
        <v>30</v>
      </c>
      <c r="F18" s="72" t="s">
        <v>31</v>
      </c>
      <c r="G18" s="9"/>
      <c r="H18" s="9"/>
      <c r="I18" s="69" t="s">
        <v>32</v>
      </c>
      <c r="J18" s="70" t="s">
        <v>32</v>
      </c>
      <c r="K18" s="9"/>
      <c r="L18" s="72" t="s">
        <v>33</v>
      </c>
      <c r="M18" s="72" t="s">
        <v>31</v>
      </c>
      <c r="N18" s="9"/>
      <c r="O18" s="9"/>
    </row>
    <row r="19" s="58" customFormat="1" ht="14.4" customHeight="1" spans="1:49">
      <c r="A19" s="73" t="s">
        <v>34</v>
      </c>
      <c r="B19" s="73" t="s">
        <v>35</v>
      </c>
      <c r="C19" s="73" t="s">
        <v>36</v>
      </c>
      <c r="D19" s="73" t="s">
        <v>6</v>
      </c>
      <c r="E19" s="73" t="s">
        <v>37</v>
      </c>
      <c r="F19" s="73" t="s">
        <v>38</v>
      </c>
      <c r="G19" s="73" t="s">
        <v>39</v>
      </c>
      <c r="H19" s="73" t="s">
        <v>40</v>
      </c>
      <c r="I19" s="73" t="s">
        <v>41</v>
      </c>
      <c r="J19" s="73" t="s">
        <v>42</v>
      </c>
      <c r="K19" s="73" t="s">
        <v>43</v>
      </c>
      <c r="L19" s="73" t="s">
        <v>44</v>
      </c>
      <c r="M19" s="73" t="s">
        <v>45</v>
      </c>
      <c r="N19" s="73" t="s">
        <v>46</v>
      </c>
      <c r="O19" s="85" t="s">
        <v>47</v>
      </c>
      <c r="P19" s="85" t="s">
        <v>48</v>
      </c>
      <c r="Q19" s="85" t="s">
        <v>49</v>
      </c>
      <c r="R19" s="85" t="s">
        <v>50</v>
      </c>
      <c r="S19" s="85" t="s">
        <v>51</v>
      </c>
      <c r="T19" s="85" t="s">
        <v>52</v>
      </c>
      <c r="U19" s="85" t="s">
        <v>53</v>
      </c>
      <c r="V19" s="85" t="s">
        <v>54</v>
      </c>
      <c r="W19" s="85" t="s">
        <v>55</v>
      </c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90"/>
    </row>
    <row r="20" s="59" customFormat="1" ht="14.4" customHeight="1"/>
    <row r="21" s="58" customFormat="1" ht="14.4" customHeight="1" spans="1:55">
      <c r="A21" s="74" t="s">
        <v>56</v>
      </c>
      <c r="B21" s="74" t="s">
        <v>57</v>
      </c>
      <c r="C21" s="74" t="s">
        <v>58</v>
      </c>
      <c r="D21" s="74" t="s">
        <v>59</v>
      </c>
      <c r="E21" s="75" t="s">
        <v>60</v>
      </c>
      <c r="F21" s="74" t="s">
        <v>61</v>
      </c>
      <c r="G21" s="74" t="s">
        <v>62</v>
      </c>
      <c r="H21" s="74" t="s">
        <v>63</v>
      </c>
      <c r="I21" s="74" t="s">
        <v>64</v>
      </c>
      <c r="J21" s="75" t="s">
        <v>65</v>
      </c>
      <c r="K21" s="75" t="s">
        <v>66</v>
      </c>
      <c r="L21" s="86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  <c r="AY21" s="89"/>
      <c r="AZ21" s="89"/>
      <c r="BA21" s="89"/>
      <c r="BB21" s="89"/>
      <c r="BC21" s="89"/>
    </row>
    <row r="22" ht="14.25" spans="1:34">
      <c r="A22" s="76">
        <v>20200904</v>
      </c>
      <c r="B22" s="76">
        <v>3500</v>
      </c>
      <c r="C22" s="76"/>
      <c r="D22" s="75" t="s">
        <v>67</v>
      </c>
      <c r="E22" s="74" t="s">
        <v>68</v>
      </c>
      <c r="F22" s="74" t="s">
        <v>69</v>
      </c>
      <c r="G22" s="77" t="s">
        <v>70</v>
      </c>
      <c r="H22" s="76"/>
      <c r="I22" s="76">
        <v>3500</v>
      </c>
      <c r="J22" s="74" t="s">
        <v>71</v>
      </c>
      <c r="K22" s="76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  <c r="AA22" s="87"/>
      <c r="AB22" s="87"/>
      <c r="AC22" s="87"/>
      <c r="AD22" s="87"/>
      <c r="AE22" s="87"/>
      <c r="AF22" s="87"/>
      <c r="AG22" s="87"/>
      <c r="AH22" s="87"/>
    </row>
    <row r="23" ht="14.25" spans="1:24">
      <c r="A23" s="76">
        <v>20200905</v>
      </c>
      <c r="B23" s="76"/>
      <c r="C23" s="76">
        <v>1471.5</v>
      </c>
      <c r="D23" s="75" t="s">
        <v>72</v>
      </c>
      <c r="E23" s="74" t="s">
        <v>73</v>
      </c>
      <c r="F23" s="74" t="s">
        <v>69</v>
      </c>
      <c r="G23" s="76"/>
      <c r="H23" s="77" t="s">
        <v>74</v>
      </c>
      <c r="I23" s="76">
        <v>2028.5</v>
      </c>
      <c r="J23" s="76" t="s">
        <v>75</v>
      </c>
      <c r="K23" s="76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</row>
    <row r="24" ht="14.25" spans="1:24">
      <c r="A24" s="76">
        <v>20200905</v>
      </c>
      <c r="B24" s="76"/>
      <c r="C24" s="76">
        <v>85</v>
      </c>
      <c r="D24" s="76" t="s">
        <v>76</v>
      </c>
      <c r="E24" s="76"/>
      <c r="F24" s="74" t="s">
        <v>69</v>
      </c>
      <c r="G24" s="76"/>
      <c r="H24" s="77" t="s">
        <v>77</v>
      </c>
      <c r="I24" s="76">
        <v>1943.5</v>
      </c>
      <c r="J24" s="76" t="s">
        <v>78</v>
      </c>
      <c r="K24" s="76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</row>
    <row r="25" ht="14.25" spans="1:24">
      <c r="A25" s="76">
        <v>20200906</v>
      </c>
      <c r="B25" s="76"/>
      <c r="C25" s="76">
        <v>270</v>
      </c>
      <c r="D25" s="77" t="s">
        <v>79</v>
      </c>
      <c r="E25" s="77" t="s">
        <v>80</v>
      </c>
      <c r="F25" s="74" t="s">
        <v>69</v>
      </c>
      <c r="G25" s="76"/>
      <c r="H25" s="77" t="s">
        <v>74</v>
      </c>
      <c r="I25" s="76">
        <v>1673.5</v>
      </c>
      <c r="J25" s="76" t="s">
        <v>81</v>
      </c>
      <c r="K25" s="76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</row>
    <row r="26" ht="14.25" spans="1:24">
      <c r="A26" s="76">
        <v>20200909</v>
      </c>
      <c r="B26" s="76"/>
      <c r="C26" s="76">
        <v>100</v>
      </c>
      <c r="D26" s="76" t="s">
        <v>82</v>
      </c>
      <c r="E26" s="76"/>
      <c r="F26" s="74" t="s">
        <v>69</v>
      </c>
      <c r="G26" s="76" t="s">
        <v>83</v>
      </c>
      <c r="H26" s="77" t="s">
        <v>70</v>
      </c>
      <c r="I26" s="76">
        <v>1573.5</v>
      </c>
      <c r="J26" s="76" t="s">
        <v>84</v>
      </c>
      <c r="K26" s="76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</row>
    <row r="27" ht="14.25" spans="1:24">
      <c r="A27" s="76">
        <v>20200909</v>
      </c>
      <c r="B27" s="76"/>
      <c r="C27" s="76">
        <v>450</v>
      </c>
      <c r="D27" s="76" t="s">
        <v>85</v>
      </c>
      <c r="E27" s="76"/>
      <c r="F27" s="74" t="s">
        <v>86</v>
      </c>
      <c r="G27" s="76"/>
      <c r="H27" s="77" t="s">
        <v>87</v>
      </c>
      <c r="I27" s="76"/>
      <c r="J27" s="76" t="s">
        <v>88</v>
      </c>
      <c r="K27" s="76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</row>
    <row r="28" ht="14.25" spans="1:24">
      <c r="A28" s="76">
        <v>20200911</v>
      </c>
      <c r="B28" s="76">
        <v>19000</v>
      </c>
      <c r="C28" s="76"/>
      <c r="D28" s="77" t="s">
        <v>89</v>
      </c>
      <c r="E28" s="76" t="s">
        <v>90</v>
      </c>
      <c r="F28" s="74" t="s">
        <v>69</v>
      </c>
      <c r="G28" s="77" t="s">
        <v>91</v>
      </c>
      <c r="H28" s="76"/>
      <c r="I28" s="76">
        <v>20573.5</v>
      </c>
      <c r="J28" s="76" t="s">
        <v>92</v>
      </c>
      <c r="K28" s="76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</row>
    <row r="29" spans="1:11">
      <c r="A29" s="78">
        <v>20200911</v>
      </c>
      <c r="B29" s="78"/>
      <c r="C29" s="78">
        <v>900</v>
      </c>
      <c r="D29" s="78" t="s">
        <v>93</v>
      </c>
      <c r="E29" s="79" t="s">
        <v>94</v>
      </c>
      <c r="F29" s="80" t="s">
        <v>69</v>
      </c>
      <c r="G29" s="78" t="s">
        <v>95</v>
      </c>
      <c r="H29" s="78" t="s">
        <v>70</v>
      </c>
      <c r="I29" s="78">
        <v>19673.5</v>
      </c>
      <c r="J29" s="78" t="s">
        <v>96</v>
      </c>
      <c r="K29" s="78"/>
    </row>
    <row r="30" spans="1:11">
      <c r="A30" s="78"/>
      <c r="B30" s="78"/>
      <c r="C30" s="78"/>
      <c r="D30" s="78"/>
      <c r="E30" s="80"/>
      <c r="F30" s="78"/>
      <c r="G30" s="78"/>
      <c r="H30" s="78"/>
      <c r="I30" s="78"/>
      <c r="J30" s="78"/>
      <c r="K30" s="78"/>
    </row>
    <row r="31" spans="1:11">
      <c r="A31" s="78"/>
      <c r="B31" s="78"/>
      <c r="C31" s="78"/>
      <c r="D31" s="78"/>
      <c r="E31" s="80"/>
      <c r="F31" s="78"/>
      <c r="G31" s="78"/>
      <c r="H31" s="78"/>
      <c r="I31" s="78"/>
      <c r="J31" s="78"/>
      <c r="K31" s="78"/>
    </row>
    <row r="32" spans="1:11">
      <c r="A32" s="78"/>
      <c r="B32" s="78"/>
      <c r="C32" s="78"/>
      <c r="D32" s="78"/>
      <c r="E32" s="80"/>
      <c r="F32" s="78"/>
      <c r="G32" s="78"/>
      <c r="H32" s="78"/>
      <c r="I32" s="78"/>
      <c r="J32" s="78"/>
      <c r="K32" s="78"/>
    </row>
    <row r="33" spans="1:11">
      <c r="A33" s="78"/>
      <c r="B33" s="78"/>
      <c r="C33" s="78"/>
      <c r="D33" s="78"/>
      <c r="E33" s="80"/>
      <c r="F33" s="78"/>
      <c r="G33" s="78"/>
      <c r="H33" s="78"/>
      <c r="I33" s="78"/>
      <c r="J33" s="78"/>
      <c r="K33" s="78"/>
    </row>
    <row r="34" spans="1:11">
      <c r="A34" s="78"/>
      <c r="B34" s="78"/>
      <c r="C34" s="78"/>
      <c r="D34" s="78"/>
      <c r="E34" s="80"/>
      <c r="F34" s="78"/>
      <c r="G34" s="78"/>
      <c r="H34" s="78"/>
      <c r="I34" s="78"/>
      <c r="J34" s="78"/>
      <c r="K34" s="78"/>
    </row>
    <row r="35" spans="1:11">
      <c r="A35" s="78"/>
      <c r="B35" s="78"/>
      <c r="C35" s="78"/>
      <c r="D35" s="78"/>
      <c r="E35" s="80"/>
      <c r="F35" s="78"/>
      <c r="G35" s="78"/>
      <c r="H35" s="78"/>
      <c r="I35" s="78"/>
      <c r="J35" s="78"/>
      <c r="K35" s="78"/>
    </row>
    <row r="36" spans="1:11">
      <c r="A36" s="78"/>
      <c r="B36" s="78"/>
      <c r="C36" s="78"/>
      <c r="D36" s="78"/>
      <c r="E36" s="80"/>
      <c r="F36" s="78"/>
      <c r="G36" s="78"/>
      <c r="H36" s="78"/>
      <c r="I36" s="78"/>
      <c r="J36" s="78"/>
      <c r="K36" s="78"/>
    </row>
    <row r="37" spans="1:11">
      <c r="A37" s="78"/>
      <c r="B37" s="78"/>
      <c r="C37" s="78"/>
      <c r="D37" s="78"/>
      <c r="E37" s="80"/>
      <c r="F37" s="78"/>
      <c r="G37" s="78"/>
      <c r="H37" s="78"/>
      <c r="I37" s="78"/>
      <c r="J37" s="78"/>
      <c r="K37" s="78"/>
    </row>
  </sheetData>
  <conditionalFormatting sqref="A1">
    <cfRule type="expression" dxfId="0" priority="1" stopIfTrue="1">
      <formula>NOT(ISERROR(SEARCH(" ",A1)))</formula>
    </cfRule>
    <cfRule type="expression" dxfId="0" priority="2" stopIfTrue="1">
      <formula>NOT(ISERROR(SEARCH(" ",A1)))</formula>
    </cfRule>
    <cfRule type="expression" dxfId="0" priority="3" stopIfTrue="1">
      <formula>NOT(ISERROR(SEARCH(" ",A1)))</formula>
    </cfRule>
  </conditionalFormatting>
  <conditionalFormatting sqref="A3 A11:A17">
    <cfRule type="expression" dxfId="0" priority="4" stopIfTrue="1">
      <formula>NOT(ISERROR(SEARCH(" ",A3)))</formula>
    </cfRule>
    <cfRule type="expression" dxfId="0" priority="5" stopIfTrue="1">
      <formula>NOT(ISERROR(SEARCH(" ",A3)))</formula>
    </cfRule>
  </conditionalFormatting>
  <dataValidations count="8"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M2 M5 J7">
      <formula1>"是,否"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I1:I2">
      <formula1>"姓名字段,提示字段,ID字段,匿名填表,缩略显示,分类字段,覆盖上传"</formula1>
    </dataValidation>
    <dataValidation type="list" allowBlank="1" showInputMessage="1" showErrorMessage="1" sqref="I3:I4">
      <formula1>"姓名字段,提示字段,ID字段,匿名填表,缩略显示,分类字段,覆盖上传,表格说明,初始数据行数"</formula1>
    </dataValidation>
    <dataValidation type="list" allowBlank="1" showInputMessage="1" showErrorMessage="1" sqref="P1:P6">
      <formula1>"等于,包含,IN,大于等,小于等,非空,是空"</formula1>
    </dataValidation>
  </dataValidations>
  <hyperlinks>
    <hyperlink ref="F5" r:id="rId8" display="http://hk.r34.cc"/>
  </hyperlink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name="Button 3" r:id="rId4">
              <controlPr print="0" defaultSize="0">
                <anchor moveWithCells="1">
                  <from>
                    <xdr:col>7</xdr:col>
                    <xdr:colOff>7620</xdr:colOff>
                    <xdr:row>0</xdr:row>
                    <xdr:rowOff>0</xdr:rowOff>
                  </from>
                  <to>
                    <xdr:col>8</xdr:col>
                    <xdr:colOff>22860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name="Button 6" r:id="rId5">
              <controlPr print="0" defaultSize="0">
                <anchor moveWithCells="1">
                  <from>
                    <xdr:col>6</xdr:col>
                    <xdr:colOff>198120</xdr:colOff>
                    <xdr:row>0</xdr:row>
                    <xdr:rowOff>0</xdr:rowOff>
                  </from>
                  <to>
                    <xdr:col>7</xdr:col>
                    <xdr:colOff>152400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name="Button 26" r:id="rId6">
              <controlPr print="0" defaultSize="0">
                <anchor moveWithCells="1" sizeWithCells="1">
                  <from>
                    <xdr:col>7</xdr:col>
                    <xdr:colOff>152400</xdr:colOff>
                    <xdr:row>2</xdr:row>
                    <xdr:rowOff>7620</xdr:rowOff>
                  </from>
                  <to>
                    <xdr:col>8</xdr:col>
                    <xdr:colOff>15240</xdr:colOff>
                    <xdr:row>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name="Button 27" r:id="rId7">
              <controlPr print="0" defaultSize="0">
                <anchor moveWithCells="1">
                  <from>
                    <xdr:col>6</xdr:col>
                    <xdr:colOff>198120</xdr:colOff>
                    <xdr:row>2</xdr:row>
                    <xdr:rowOff>7620</xdr:rowOff>
                  </from>
                  <to>
                    <xdr:col>7</xdr:col>
                    <xdr:colOff>152400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>
    <tabColor rgb="FFFF0000"/>
  </sheetPr>
  <dimension ref="A1:U25"/>
  <sheetViews>
    <sheetView workbookViewId="0">
      <selection activeCell="B3" sqref="B3"/>
    </sheetView>
  </sheetViews>
  <sheetFormatPr defaultColWidth="9" defaultRowHeight="13.5"/>
  <cols>
    <col min="1" max="1" width="9.66666666666667" style="49" customWidth="1"/>
    <col min="2" max="2" width="12" style="50" customWidth="1"/>
    <col min="3" max="3" width="8.44166666666667" style="50" customWidth="1"/>
    <col min="4" max="4" width="9.89166666666667" style="50" customWidth="1"/>
    <col min="5" max="5" width="14.225" style="50" customWidth="1"/>
    <col min="6" max="6" width="11.6666666666667" style="51" customWidth="1"/>
    <col min="7" max="7" width="10.1083333333333" style="50" customWidth="1"/>
    <col min="8" max="8" width="11" style="50" customWidth="1"/>
    <col min="9" max="9" width="11.225" style="52" customWidth="1"/>
    <col min="10" max="10" width="18.8916666666667" style="52" customWidth="1"/>
    <col min="11" max="16384" width="9" style="53"/>
  </cols>
  <sheetData>
    <row r="1" s="47" customFormat="1" ht="30.6" customHeight="1" spans="2:5">
      <c r="B1" s="47" t="s">
        <v>97</v>
      </c>
      <c r="D1" s="54" t="s">
        <v>98</v>
      </c>
      <c r="E1" s="47" t="s">
        <v>99</v>
      </c>
    </row>
    <row r="2" s="48" customFormat="1" spans="1:21">
      <c r="A2" s="55" t="s">
        <v>98</v>
      </c>
      <c r="B2" s="56" t="e">
        <f>Sheet1!#REF!</f>
        <v>#REF!</v>
      </c>
      <c r="C2" s="56" t="e">
        <f>Sheet1!#REF!</f>
        <v>#REF!</v>
      </c>
      <c r="D2" s="56" t="e">
        <f>Sheet1!#REF!</f>
        <v>#REF!</v>
      </c>
      <c r="E2" s="56" t="e">
        <f>Sheet1!#REF!</f>
        <v>#REF!</v>
      </c>
      <c r="F2" s="56" t="e">
        <f>Sheet1!#REF!</f>
        <v>#REF!</v>
      </c>
      <c r="G2" s="56" t="e">
        <f>#REF!</f>
        <v>#REF!</v>
      </c>
      <c r="H2" s="56" t="e">
        <f>#REF!</f>
        <v>#REF!</v>
      </c>
      <c r="I2" s="56" t="e">
        <f>Sheet1!#REF!</f>
        <v>#REF!</v>
      </c>
      <c r="J2" s="56" t="e">
        <f>Sheet1!#REF!</f>
        <v>#REF!</v>
      </c>
      <c r="K2" s="56" t="e">
        <f>Sheet1!#REF!</f>
        <v>#REF!</v>
      </c>
      <c r="L2" s="56" t="e">
        <f>#REF!</f>
        <v>#REF!</v>
      </c>
      <c r="M2" s="56" t="e">
        <f>#REF!</f>
        <v>#REF!</v>
      </c>
      <c r="N2" s="56" t="e">
        <f>#REF!</f>
        <v>#REF!</v>
      </c>
      <c r="O2" s="56">
        <f>Sheet1!O21</f>
        <v>0</v>
      </c>
      <c r="P2" s="56" t="e">
        <f>Sheet1!#REF!</f>
        <v>#REF!</v>
      </c>
      <c r="Q2" s="56" t="e">
        <f>Sheet1!#REF!</f>
        <v>#REF!</v>
      </c>
      <c r="R2" s="56">
        <f>Sheet1!P21</f>
        <v>0</v>
      </c>
      <c r="S2" s="56">
        <f>Sheet1!T21</f>
        <v>0</v>
      </c>
      <c r="T2" s="56">
        <f>Sheet1!V21</f>
        <v>0</v>
      </c>
      <c r="U2" s="56" t="e">
        <f>Sheet1!#REF!</f>
        <v>#REF!</v>
      </c>
    </row>
    <row r="3" spans="1:21">
      <c r="A3" s="49">
        <v>1426089308</v>
      </c>
      <c r="B3" s="57" t="e">
        <f ca="1">INDEX(Sheet1!A:A,MATCH(#REF!,INDIRECT("sheet1!"&amp;VLOOKUP(Sheet1!$J$1,帮助!$BR:$BS,2,FALSE)&amp;":"&amp;VLOOKUP(Sheet1!$J$1,帮助!$BR:$BS,2,FALSE)),0))</f>
        <v>#REF!</v>
      </c>
      <c r="C3" s="57" t="e">
        <f ca="1">INDEX(Sheet1!B:B,MATCH(#REF!,INDIRECT("sheet1!"&amp;VLOOKUP(Sheet1!$J$1,帮助!$BR:$BS,2,FALSE)&amp;":"&amp;VLOOKUP(Sheet1!$J$1,帮助!$BR:$BS,2,FALSE)),0))</f>
        <v>#REF!</v>
      </c>
      <c r="D3" s="57" t="e">
        <f ca="1">INDEX(Sheet1!D:D,MATCH(#REF!,INDIRECT("sheet1!"&amp;VLOOKUP(Sheet1!$J$1,帮助!$BR:$BS,2,FALSE)&amp;":"&amp;VLOOKUP(Sheet1!$J$1,帮助!$BR:$BS,2,FALSE)),0))</f>
        <v>#REF!</v>
      </c>
      <c r="E3" s="57" t="e">
        <f ca="1">INDEX(Sheet1!E:E,MATCH(#REF!,INDIRECT("sheet1!"&amp;VLOOKUP(Sheet1!$J$1,帮助!$BR:$BS,2,FALSE)&amp;":"&amp;VLOOKUP(Sheet1!$J$1,帮助!$BR:$BS,2,FALSE)),0))</f>
        <v>#REF!</v>
      </c>
      <c r="F3" s="57" t="e">
        <f ca="1">INDEX(Sheet1!F:F,MATCH(#REF!,INDIRECT("sheet1!"&amp;VLOOKUP(Sheet1!$J$1,帮助!$BR:$BS,2,FALSE)&amp;":"&amp;VLOOKUP(Sheet1!$J$1,帮助!$BR:$BS,2,FALSE)),0))</f>
        <v>#REF!</v>
      </c>
      <c r="G3" s="57" t="e">
        <f ca="1">INDEX(Sheet1!G:G,MATCH(#REF!,INDIRECT("sheet1!"&amp;VLOOKUP(Sheet1!$J$1,帮助!$BR:$BS,2,FALSE)&amp;":"&amp;VLOOKUP(Sheet1!$J$1,帮助!$BR:$BS,2,FALSE)),0))</f>
        <v>#REF!</v>
      </c>
      <c r="H3" s="57" t="e">
        <f ca="1">INDEX(Sheet1!H:H,MATCH(#REF!,INDIRECT("sheet1!"&amp;VLOOKUP(Sheet1!$J$1,帮助!$BR:$BS,2,FALSE)&amp;":"&amp;VLOOKUP(Sheet1!$J$1,帮助!$BR:$BS,2,FALSE)),0))</f>
        <v>#REF!</v>
      </c>
      <c r="I3" s="57" t="e">
        <f ca="1">INDEX(Sheet1!I:I,MATCH(#REF!,INDIRECT("sheet1!"&amp;VLOOKUP(Sheet1!$J$1,帮助!$BR:$BS,2,FALSE)&amp;":"&amp;VLOOKUP(Sheet1!$J$1,帮助!$BR:$BS,2,FALSE)),0))</f>
        <v>#REF!</v>
      </c>
      <c r="J3" s="57" t="e">
        <f ca="1">INDEX(Sheet1!J:J,MATCH(#REF!,INDIRECT("sheet1!"&amp;VLOOKUP(Sheet1!$J$1,帮助!$BR:$BS,2,FALSE)&amp;":"&amp;VLOOKUP(Sheet1!$J$1,帮助!$BR:$BS,2,FALSE)),0))</f>
        <v>#REF!</v>
      </c>
      <c r="K3" s="57" t="e">
        <f ca="1">INDEX(Sheet1!K:K,MATCH(#REF!,INDIRECT("sheet1!"&amp;VLOOKUP(Sheet1!$J$1,帮助!$BR:$BS,2,FALSE)&amp;":"&amp;VLOOKUP(Sheet1!$J$1,帮助!$BR:$BS,2,FALSE)),0))</f>
        <v>#REF!</v>
      </c>
      <c r="L3" s="57" t="e">
        <f ca="1">INDEX(Sheet1!L:L,MATCH(#REF!,INDIRECT("sheet1!"&amp;VLOOKUP(Sheet1!$J$1,帮助!$BR:$BS,2,FALSE)&amp;":"&amp;VLOOKUP(Sheet1!$J$1,帮助!$BR:$BS,2,FALSE)),0))</f>
        <v>#REF!</v>
      </c>
      <c r="M3" s="57" t="e">
        <f ca="1">INDEX(Sheet1!M:M,MATCH(#REF!,INDIRECT("sheet1!"&amp;VLOOKUP(Sheet1!$J$1,帮助!$BR:$BS,2,FALSE)&amp;":"&amp;VLOOKUP(Sheet1!$J$1,帮助!$BR:$BS,2,FALSE)),0))</f>
        <v>#REF!</v>
      </c>
      <c r="N3" s="57" t="e">
        <f ca="1">INDEX(Sheet1!N:N,MATCH(#REF!,INDIRECT("sheet1!"&amp;VLOOKUP(Sheet1!$J$1,帮助!$BR:$BS,2,FALSE)&amp;":"&amp;VLOOKUP(Sheet1!$J$1,帮助!$BR:$BS,2,FALSE)),0))</f>
        <v>#REF!</v>
      </c>
      <c r="O3" s="57" t="e">
        <f ca="1">INDEX(Sheet1!#REF!,MATCH(#REF!,INDIRECT("sheet1!"&amp;VLOOKUP(Sheet1!$J$1,帮助!$BR:$BS,2,FALSE)&amp;":"&amp;VLOOKUP(Sheet1!$J$1,帮助!$BR:$BS,2,FALSE)),0))</f>
        <v>#REF!</v>
      </c>
      <c r="P3" s="57" t="e">
        <f ca="1">INDEX(Sheet1!#REF!,MATCH(#REF!,INDIRECT("sheet1!"&amp;VLOOKUP(Sheet1!$J$1,帮助!$BR:$BS,2,FALSE)&amp;":"&amp;VLOOKUP(Sheet1!$J$1,帮助!$BR:$BS,2,FALSE)),0))</f>
        <v>#REF!</v>
      </c>
      <c r="Q3" s="57" t="e">
        <f ca="1">INDEX(Sheet1!O:O,MATCH(#REF!,INDIRECT("sheet1!"&amp;VLOOKUP(Sheet1!$J$1,帮助!$BR:$BS,2,FALSE)&amp;":"&amp;VLOOKUP(Sheet1!$J$1,帮助!$BR:$BS,2,FALSE)),0))</f>
        <v>#REF!</v>
      </c>
      <c r="R3" s="57" t="e">
        <f ca="1">INDEX(Sheet1!P:P,MATCH(#REF!,INDIRECT("sheet1!"&amp;VLOOKUP(Sheet1!$J$1,帮助!$BR:$BS,2,FALSE)&amp;":"&amp;VLOOKUP(Sheet1!$J$1,帮助!$BR:$BS,2,FALSE)),0))</f>
        <v>#REF!</v>
      </c>
      <c r="S3" s="57" t="e">
        <f ca="1">INDEX(Sheet1!Q:Q,MATCH(#REF!,INDIRECT("sheet1!"&amp;VLOOKUP(Sheet1!$J$1,帮助!$BR:$BS,2,FALSE)&amp;":"&amp;VLOOKUP(Sheet1!$J$1,帮助!$BR:$BS,2,FALSE)),0))</f>
        <v>#REF!</v>
      </c>
      <c r="T3" s="57" t="e">
        <f ca="1">INDEX(Sheet1!R:R,MATCH(#REF!,INDIRECT("sheet1!"&amp;VLOOKUP(Sheet1!$J$1,帮助!$BR:$BS,2,FALSE)&amp;":"&amp;VLOOKUP(Sheet1!$J$1,帮助!$BR:$BS,2,FALSE)),0))</f>
        <v>#REF!</v>
      </c>
      <c r="U3" s="57" t="e">
        <f ca="1">INDEX(Sheet1!S:S,MATCH(#REF!,INDIRECT("sheet1!"&amp;VLOOKUP(Sheet1!$J$1,帮助!$BR:$BS,2,FALSE)&amp;":"&amp;VLOOKUP(Sheet1!$J$1,帮助!$BR:$BS,2,FALSE)),0))</f>
        <v>#REF!</v>
      </c>
    </row>
    <row r="4" spans="2:21">
      <c r="B4" s="57" t="e">
        <f ca="1">INDEX(Sheet1!A:A,MATCH(#REF!,INDIRECT("sheet1!"&amp;VLOOKUP(Sheet1!$J$1,帮助!$BR:$BS,2,FALSE)&amp;":"&amp;VLOOKUP(Sheet1!$J$1,帮助!$BR:$BS,2,FALSE)),0))</f>
        <v>#REF!</v>
      </c>
      <c r="C4" s="57" t="e">
        <f ca="1">INDEX(Sheet1!B:B,MATCH(#REF!,INDIRECT("sheet1!"&amp;VLOOKUP(Sheet1!$J$1,帮助!$BR:$BS,2,FALSE)&amp;":"&amp;VLOOKUP(Sheet1!$J$1,帮助!$BR:$BS,2,FALSE)),0))</f>
        <v>#REF!</v>
      </c>
      <c r="D4" s="57" t="e">
        <f ca="1">INDEX(Sheet1!D:D,MATCH(#REF!,INDIRECT("sheet1!"&amp;VLOOKUP(Sheet1!$J$1,帮助!$BR:$BS,2,FALSE)&amp;":"&amp;VLOOKUP(Sheet1!$J$1,帮助!$BR:$BS,2,FALSE)),0))</f>
        <v>#REF!</v>
      </c>
      <c r="E4" s="57" t="e">
        <f ca="1">INDEX(Sheet1!E:E,MATCH(#REF!,INDIRECT("sheet1!"&amp;VLOOKUP(Sheet1!$J$1,帮助!$BR:$BS,2,FALSE)&amp;":"&amp;VLOOKUP(Sheet1!$J$1,帮助!$BR:$BS,2,FALSE)),0))</f>
        <v>#REF!</v>
      </c>
      <c r="F4" s="57" t="e">
        <f ca="1">INDEX(Sheet1!F:F,MATCH(#REF!,INDIRECT("sheet1!"&amp;VLOOKUP(Sheet1!$J$1,帮助!$BR:$BS,2,FALSE)&amp;":"&amp;VLOOKUP(Sheet1!$J$1,帮助!$BR:$BS,2,FALSE)),0))</f>
        <v>#REF!</v>
      </c>
      <c r="G4" s="57" t="e">
        <f ca="1">INDEX(Sheet1!G:G,MATCH(#REF!,INDIRECT("sheet1!"&amp;VLOOKUP(Sheet1!$J$1,帮助!$BR:$BS,2,FALSE)&amp;":"&amp;VLOOKUP(Sheet1!$J$1,帮助!$BR:$BS,2,FALSE)),0))</f>
        <v>#REF!</v>
      </c>
      <c r="H4" s="57" t="e">
        <f ca="1">INDEX(Sheet1!H:H,MATCH(#REF!,INDIRECT("sheet1!"&amp;VLOOKUP(Sheet1!$J$1,帮助!$BR:$BS,2,FALSE)&amp;":"&amp;VLOOKUP(Sheet1!$J$1,帮助!$BR:$BS,2,FALSE)),0))</f>
        <v>#REF!</v>
      </c>
      <c r="I4" s="57" t="e">
        <f ca="1">INDEX(Sheet1!I:I,MATCH(#REF!,INDIRECT("sheet1!"&amp;VLOOKUP(Sheet1!$J$1,帮助!$BR:$BS,2,FALSE)&amp;":"&amp;VLOOKUP(Sheet1!$J$1,帮助!$BR:$BS,2,FALSE)),0))</f>
        <v>#REF!</v>
      </c>
      <c r="J4" s="57" t="e">
        <f ca="1">INDEX(Sheet1!J:J,MATCH(#REF!,INDIRECT("sheet1!"&amp;VLOOKUP(Sheet1!$J$1,帮助!$BR:$BS,2,FALSE)&amp;":"&amp;VLOOKUP(Sheet1!$J$1,帮助!$BR:$BS,2,FALSE)),0))</f>
        <v>#REF!</v>
      </c>
      <c r="K4" s="57" t="e">
        <f ca="1">INDEX(Sheet1!K:K,MATCH(#REF!,INDIRECT("sheet1!"&amp;VLOOKUP(Sheet1!$J$1,帮助!$BR:$BS,2,FALSE)&amp;":"&amp;VLOOKUP(Sheet1!$J$1,帮助!$BR:$BS,2,FALSE)),0))</f>
        <v>#REF!</v>
      </c>
      <c r="L4" s="57" t="e">
        <f ca="1">INDEX(Sheet1!L:L,MATCH(#REF!,INDIRECT("sheet1!"&amp;VLOOKUP(Sheet1!$J$1,帮助!$BR:$BS,2,FALSE)&amp;":"&amp;VLOOKUP(Sheet1!$J$1,帮助!$BR:$BS,2,FALSE)),0))</f>
        <v>#REF!</v>
      </c>
      <c r="M4" s="57" t="e">
        <f ca="1">INDEX(Sheet1!M:M,MATCH(#REF!,INDIRECT("sheet1!"&amp;VLOOKUP(Sheet1!$J$1,帮助!$BR:$BS,2,FALSE)&amp;":"&amp;VLOOKUP(Sheet1!$J$1,帮助!$BR:$BS,2,FALSE)),0))</f>
        <v>#REF!</v>
      </c>
      <c r="N4" s="57" t="e">
        <f ca="1">INDEX(Sheet1!N:N,MATCH(#REF!,INDIRECT("sheet1!"&amp;VLOOKUP(Sheet1!$J$1,帮助!$BR:$BS,2,FALSE)&amp;":"&amp;VLOOKUP(Sheet1!$J$1,帮助!$BR:$BS,2,FALSE)),0))</f>
        <v>#REF!</v>
      </c>
      <c r="O4" s="57" t="e">
        <f ca="1">INDEX(Sheet1!#REF!,MATCH(#REF!,INDIRECT("sheet1!"&amp;VLOOKUP(Sheet1!$J$1,帮助!$BR:$BS,2,FALSE)&amp;":"&amp;VLOOKUP(Sheet1!$J$1,帮助!$BR:$BS,2,FALSE)),0))</f>
        <v>#REF!</v>
      </c>
      <c r="P4" s="57" t="e">
        <f ca="1">INDEX(Sheet1!#REF!,MATCH(#REF!,INDIRECT("sheet1!"&amp;VLOOKUP(Sheet1!$J$1,帮助!$BR:$BS,2,FALSE)&amp;":"&amp;VLOOKUP(Sheet1!$J$1,帮助!$BR:$BS,2,FALSE)),0))</f>
        <v>#REF!</v>
      </c>
      <c r="Q4" s="57" t="e">
        <f ca="1">INDEX(Sheet1!O:O,MATCH(#REF!,INDIRECT("sheet1!"&amp;VLOOKUP(Sheet1!$J$1,帮助!$BR:$BS,2,FALSE)&amp;":"&amp;VLOOKUP(Sheet1!$J$1,帮助!$BR:$BS,2,FALSE)),0))</f>
        <v>#REF!</v>
      </c>
      <c r="R4" s="57" t="e">
        <f ca="1">INDEX(Sheet1!P:P,MATCH(#REF!,INDIRECT("sheet1!"&amp;VLOOKUP(Sheet1!$J$1,帮助!$BR:$BS,2,FALSE)&amp;":"&amp;VLOOKUP(Sheet1!$J$1,帮助!$BR:$BS,2,FALSE)),0))</f>
        <v>#REF!</v>
      </c>
      <c r="S4" s="57" t="e">
        <f ca="1">INDEX(Sheet1!Q:Q,MATCH(#REF!,INDIRECT("sheet1!"&amp;VLOOKUP(Sheet1!$J$1,帮助!$BR:$BS,2,FALSE)&amp;":"&amp;VLOOKUP(Sheet1!$J$1,帮助!$BR:$BS,2,FALSE)),0))</f>
        <v>#REF!</v>
      </c>
      <c r="T4" s="57" t="e">
        <f ca="1">INDEX(Sheet1!R:R,MATCH(#REF!,INDIRECT("sheet1!"&amp;VLOOKUP(Sheet1!$J$1,帮助!$BR:$BS,2,FALSE)&amp;":"&amp;VLOOKUP(Sheet1!$J$1,帮助!$BR:$BS,2,FALSE)),0))</f>
        <v>#REF!</v>
      </c>
      <c r="U4" s="57" t="e">
        <f ca="1">INDEX(Sheet1!S:S,MATCH(#REF!,INDIRECT("sheet1!"&amp;VLOOKUP(Sheet1!$J$1,帮助!$BR:$BS,2,FALSE)&amp;":"&amp;VLOOKUP(Sheet1!$J$1,帮助!$BR:$BS,2,FALSE)),0))</f>
        <v>#REF!</v>
      </c>
    </row>
    <row r="5" spans="2:21">
      <c r="B5" s="57" t="e">
        <f ca="1">INDEX(Sheet1!A:A,MATCH(#REF!,INDIRECT("sheet1!"&amp;VLOOKUP(Sheet1!$J$1,帮助!$BR:$BS,2,FALSE)&amp;":"&amp;VLOOKUP(Sheet1!$J$1,帮助!$BR:$BS,2,FALSE)),0))</f>
        <v>#REF!</v>
      </c>
      <c r="C5" s="57" t="e">
        <f ca="1">INDEX(Sheet1!B:B,MATCH(#REF!,INDIRECT("sheet1!"&amp;VLOOKUP(Sheet1!$J$1,帮助!$BR:$BS,2,FALSE)&amp;":"&amp;VLOOKUP(Sheet1!$J$1,帮助!$BR:$BS,2,FALSE)),0))</f>
        <v>#REF!</v>
      </c>
      <c r="D5" s="57" t="e">
        <f ca="1">INDEX(Sheet1!D:D,MATCH(#REF!,INDIRECT("sheet1!"&amp;VLOOKUP(Sheet1!$J$1,帮助!$BR:$BS,2,FALSE)&amp;":"&amp;VLOOKUP(Sheet1!$J$1,帮助!$BR:$BS,2,FALSE)),0))</f>
        <v>#REF!</v>
      </c>
      <c r="E5" s="57" t="e">
        <f ca="1">INDEX(Sheet1!E:E,MATCH(#REF!,INDIRECT("sheet1!"&amp;VLOOKUP(Sheet1!$J$1,帮助!$BR:$BS,2,FALSE)&amp;":"&amp;VLOOKUP(Sheet1!$J$1,帮助!$BR:$BS,2,FALSE)),0))</f>
        <v>#REF!</v>
      </c>
      <c r="F5" s="57" t="e">
        <f ca="1">INDEX(Sheet1!F:F,MATCH(#REF!,INDIRECT("sheet1!"&amp;VLOOKUP(Sheet1!$J$1,帮助!$BR:$BS,2,FALSE)&amp;":"&amp;VLOOKUP(Sheet1!$J$1,帮助!$BR:$BS,2,FALSE)),0))</f>
        <v>#REF!</v>
      </c>
      <c r="G5" s="57" t="e">
        <f ca="1">INDEX(Sheet1!G:G,MATCH(#REF!,INDIRECT("sheet1!"&amp;VLOOKUP(Sheet1!$J$1,帮助!$BR:$BS,2,FALSE)&amp;":"&amp;VLOOKUP(Sheet1!$J$1,帮助!$BR:$BS,2,FALSE)),0))</f>
        <v>#REF!</v>
      </c>
      <c r="H5" s="57" t="e">
        <f ca="1">INDEX(Sheet1!H:H,MATCH(#REF!,INDIRECT("sheet1!"&amp;VLOOKUP(Sheet1!$J$1,帮助!$BR:$BS,2,FALSE)&amp;":"&amp;VLOOKUP(Sheet1!$J$1,帮助!$BR:$BS,2,FALSE)),0))</f>
        <v>#REF!</v>
      </c>
      <c r="I5" s="57" t="e">
        <f ca="1">INDEX(Sheet1!I:I,MATCH(#REF!,INDIRECT("sheet1!"&amp;VLOOKUP(Sheet1!$J$1,帮助!$BR:$BS,2,FALSE)&amp;":"&amp;VLOOKUP(Sheet1!$J$1,帮助!$BR:$BS,2,FALSE)),0))</f>
        <v>#REF!</v>
      </c>
      <c r="J5" s="57" t="e">
        <f ca="1">INDEX(Sheet1!J:J,MATCH(#REF!,INDIRECT("sheet1!"&amp;VLOOKUP(Sheet1!$J$1,帮助!$BR:$BS,2,FALSE)&amp;":"&amp;VLOOKUP(Sheet1!$J$1,帮助!$BR:$BS,2,FALSE)),0))</f>
        <v>#REF!</v>
      </c>
      <c r="K5" s="57" t="e">
        <f ca="1">INDEX(Sheet1!K:K,MATCH(#REF!,INDIRECT("sheet1!"&amp;VLOOKUP(Sheet1!$J$1,帮助!$BR:$BS,2,FALSE)&amp;":"&amp;VLOOKUP(Sheet1!$J$1,帮助!$BR:$BS,2,FALSE)),0))</f>
        <v>#REF!</v>
      </c>
      <c r="L5" s="57" t="e">
        <f ca="1">INDEX(Sheet1!L:L,MATCH(#REF!,INDIRECT("sheet1!"&amp;VLOOKUP(Sheet1!$J$1,帮助!$BR:$BS,2,FALSE)&amp;":"&amp;VLOOKUP(Sheet1!$J$1,帮助!$BR:$BS,2,FALSE)),0))</f>
        <v>#REF!</v>
      </c>
      <c r="M5" s="57" t="e">
        <f ca="1">INDEX(Sheet1!M:M,MATCH(#REF!,INDIRECT("sheet1!"&amp;VLOOKUP(Sheet1!$J$1,帮助!$BR:$BS,2,FALSE)&amp;":"&amp;VLOOKUP(Sheet1!$J$1,帮助!$BR:$BS,2,FALSE)),0))</f>
        <v>#REF!</v>
      </c>
      <c r="N5" s="57" t="e">
        <f ca="1">INDEX(Sheet1!N:N,MATCH(#REF!,INDIRECT("sheet1!"&amp;VLOOKUP(Sheet1!$J$1,帮助!$BR:$BS,2,FALSE)&amp;":"&amp;VLOOKUP(Sheet1!$J$1,帮助!$BR:$BS,2,FALSE)),0))</f>
        <v>#REF!</v>
      </c>
      <c r="O5" s="57" t="e">
        <f ca="1">INDEX(Sheet1!#REF!,MATCH(#REF!,INDIRECT("sheet1!"&amp;VLOOKUP(Sheet1!$J$1,帮助!$BR:$BS,2,FALSE)&amp;":"&amp;VLOOKUP(Sheet1!$J$1,帮助!$BR:$BS,2,FALSE)),0))</f>
        <v>#REF!</v>
      </c>
      <c r="P5" s="57" t="e">
        <f ca="1">INDEX(Sheet1!#REF!,MATCH(#REF!,INDIRECT("sheet1!"&amp;VLOOKUP(Sheet1!$J$1,帮助!$BR:$BS,2,FALSE)&amp;":"&amp;VLOOKUP(Sheet1!$J$1,帮助!$BR:$BS,2,FALSE)),0))</f>
        <v>#REF!</v>
      </c>
      <c r="Q5" s="57" t="e">
        <f ca="1">INDEX(Sheet1!O:O,MATCH(#REF!,INDIRECT("sheet1!"&amp;VLOOKUP(Sheet1!$J$1,帮助!$BR:$BS,2,FALSE)&amp;":"&amp;VLOOKUP(Sheet1!$J$1,帮助!$BR:$BS,2,FALSE)),0))</f>
        <v>#REF!</v>
      </c>
      <c r="R5" s="57" t="e">
        <f ca="1">INDEX(Sheet1!P:P,MATCH(#REF!,INDIRECT("sheet1!"&amp;VLOOKUP(Sheet1!$J$1,帮助!$BR:$BS,2,FALSE)&amp;":"&amp;VLOOKUP(Sheet1!$J$1,帮助!$BR:$BS,2,FALSE)),0))</f>
        <v>#REF!</v>
      </c>
      <c r="S5" s="57" t="e">
        <f ca="1">INDEX(Sheet1!Q:Q,MATCH(#REF!,INDIRECT("sheet1!"&amp;VLOOKUP(Sheet1!$J$1,帮助!$BR:$BS,2,FALSE)&amp;":"&amp;VLOOKUP(Sheet1!$J$1,帮助!$BR:$BS,2,FALSE)),0))</f>
        <v>#REF!</v>
      </c>
      <c r="T5" s="57" t="e">
        <f ca="1">INDEX(Sheet1!R:R,MATCH(#REF!,INDIRECT("sheet1!"&amp;VLOOKUP(Sheet1!$J$1,帮助!$BR:$BS,2,FALSE)&amp;":"&amp;VLOOKUP(Sheet1!$J$1,帮助!$BR:$BS,2,FALSE)),0))</f>
        <v>#REF!</v>
      </c>
      <c r="U5" s="57" t="e">
        <f ca="1">INDEX(Sheet1!S:S,MATCH(#REF!,INDIRECT("sheet1!"&amp;VLOOKUP(Sheet1!$J$1,帮助!$BR:$BS,2,FALSE)&amp;":"&amp;VLOOKUP(Sheet1!$J$1,帮助!$BR:$BS,2,FALSE)),0))</f>
        <v>#REF!</v>
      </c>
    </row>
    <row r="6" spans="2:21">
      <c r="B6" s="57" t="e">
        <f ca="1">INDEX(Sheet1!A:A,MATCH(#REF!,INDIRECT("sheet1!"&amp;VLOOKUP(Sheet1!$J$1,帮助!$BR:$BS,2,FALSE)&amp;":"&amp;VLOOKUP(Sheet1!$J$1,帮助!$BR:$BS,2,FALSE)),0))</f>
        <v>#REF!</v>
      </c>
      <c r="C6" s="57" t="e">
        <f ca="1">INDEX(Sheet1!B:B,MATCH(#REF!,INDIRECT("sheet1!"&amp;VLOOKUP(Sheet1!$J$1,帮助!$BR:$BS,2,FALSE)&amp;":"&amp;VLOOKUP(Sheet1!$J$1,帮助!$BR:$BS,2,FALSE)),0))</f>
        <v>#REF!</v>
      </c>
      <c r="D6" s="57" t="e">
        <f ca="1">INDEX(Sheet1!D:D,MATCH(#REF!,INDIRECT("sheet1!"&amp;VLOOKUP(Sheet1!$J$1,帮助!$BR:$BS,2,FALSE)&amp;":"&amp;VLOOKUP(Sheet1!$J$1,帮助!$BR:$BS,2,FALSE)),0))</f>
        <v>#REF!</v>
      </c>
      <c r="E6" s="57" t="e">
        <f ca="1">INDEX(Sheet1!E:E,MATCH(#REF!,INDIRECT("sheet1!"&amp;VLOOKUP(Sheet1!$J$1,帮助!$BR:$BS,2,FALSE)&amp;":"&amp;VLOOKUP(Sheet1!$J$1,帮助!$BR:$BS,2,FALSE)),0))</f>
        <v>#REF!</v>
      </c>
      <c r="F6" s="57" t="e">
        <f ca="1">INDEX(Sheet1!F:F,MATCH(#REF!,INDIRECT("sheet1!"&amp;VLOOKUP(Sheet1!$J$1,帮助!$BR:$BS,2,FALSE)&amp;":"&amp;VLOOKUP(Sheet1!$J$1,帮助!$BR:$BS,2,FALSE)),0))</f>
        <v>#REF!</v>
      </c>
      <c r="G6" s="57" t="e">
        <f ca="1">INDEX(Sheet1!G:G,MATCH(#REF!,INDIRECT("sheet1!"&amp;VLOOKUP(Sheet1!$J$1,帮助!$BR:$BS,2,FALSE)&amp;":"&amp;VLOOKUP(Sheet1!$J$1,帮助!$BR:$BS,2,FALSE)),0))</f>
        <v>#REF!</v>
      </c>
      <c r="H6" s="57" t="e">
        <f ca="1">INDEX(Sheet1!H:H,MATCH(#REF!,INDIRECT("sheet1!"&amp;VLOOKUP(Sheet1!$J$1,帮助!$BR:$BS,2,FALSE)&amp;":"&amp;VLOOKUP(Sheet1!$J$1,帮助!$BR:$BS,2,FALSE)),0))</f>
        <v>#REF!</v>
      </c>
      <c r="I6" s="57" t="e">
        <f ca="1">INDEX(Sheet1!I:I,MATCH(#REF!,INDIRECT("sheet1!"&amp;VLOOKUP(Sheet1!$J$1,帮助!$BR:$BS,2,FALSE)&amp;":"&amp;VLOOKUP(Sheet1!$J$1,帮助!$BR:$BS,2,FALSE)),0))</f>
        <v>#REF!</v>
      </c>
      <c r="J6" s="57" t="e">
        <f ca="1">INDEX(Sheet1!J:J,MATCH(#REF!,INDIRECT("sheet1!"&amp;VLOOKUP(Sheet1!$J$1,帮助!$BR:$BS,2,FALSE)&amp;":"&amp;VLOOKUP(Sheet1!$J$1,帮助!$BR:$BS,2,FALSE)),0))</f>
        <v>#REF!</v>
      </c>
      <c r="K6" s="57" t="e">
        <f ca="1">INDEX(Sheet1!K:K,MATCH(#REF!,INDIRECT("sheet1!"&amp;VLOOKUP(Sheet1!$J$1,帮助!$BR:$BS,2,FALSE)&amp;":"&amp;VLOOKUP(Sheet1!$J$1,帮助!$BR:$BS,2,FALSE)),0))</f>
        <v>#REF!</v>
      </c>
      <c r="L6" s="57" t="e">
        <f ca="1">INDEX(Sheet1!L:L,MATCH(#REF!,INDIRECT("sheet1!"&amp;VLOOKUP(Sheet1!$J$1,帮助!$BR:$BS,2,FALSE)&amp;":"&amp;VLOOKUP(Sheet1!$J$1,帮助!$BR:$BS,2,FALSE)),0))</f>
        <v>#REF!</v>
      </c>
      <c r="M6" s="57" t="e">
        <f ca="1">INDEX(Sheet1!M:M,MATCH(#REF!,INDIRECT("sheet1!"&amp;VLOOKUP(Sheet1!$J$1,帮助!$BR:$BS,2,FALSE)&amp;":"&amp;VLOOKUP(Sheet1!$J$1,帮助!$BR:$BS,2,FALSE)),0))</f>
        <v>#REF!</v>
      </c>
      <c r="N6" s="57" t="e">
        <f ca="1">INDEX(Sheet1!N:N,MATCH(#REF!,INDIRECT("sheet1!"&amp;VLOOKUP(Sheet1!$J$1,帮助!$BR:$BS,2,FALSE)&amp;":"&amp;VLOOKUP(Sheet1!$J$1,帮助!$BR:$BS,2,FALSE)),0))</f>
        <v>#REF!</v>
      </c>
      <c r="O6" s="57" t="e">
        <f ca="1">INDEX(Sheet1!#REF!,MATCH(#REF!,INDIRECT("sheet1!"&amp;VLOOKUP(Sheet1!$J$1,帮助!$BR:$BS,2,FALSE)&amp;":"&amp;VLOOKUP(Sheet1!$J$1,帮助!$BR:$BS,2,FALSE)),0))</f>
        <v>#REF!</v>
      </c>
      <c r="P6" s="57" t="e">
        <f ca="1">INDEX(Sheet1!#REF!,MATCH(#REF!,INDIRECT("sheet1!"&amp;VLOOKUP(Sheet1!$J$1,帮助!$BR:$BS,2,FALSE)&amp;":"&amp;VLOOKUP(Sheet1!$J$1,帮助!$BR:$BS,2,FALSE)),0))</f>
        <v>#REF!</v>
      </c>
      <c r="Q6" s="57" t="e">
        <f ca="1">INDEX(Sheet1!O:O,MATCH(#REF!,INDIRECT("sheet1!"&amp;VLOOKUP(Sheet1!$J$1,帮助!$BR:$BS,2,FALSE)&amp;":"&amp;VLOOKUP(Sheet1!$J$1,帮助!$BR:$BS,2,FALSE)),0))</f>
        <v>#REF!</v>
      </c>
      <c r="R6" s="57" t="e">
        <f ca="1">INDEX(Sheet1!P:P,MATCH(#REF!,INDIRECT("sheet1!"&amp;VLOOKUP(Sheet1!$J$1,帮助!$BR:$BS,2,FALSE)&amp;":"&amp;VLOOKUP(Sheet1!$J$1,帮助!$BR:$BS,2,FALSE)),0))</f>
        <v>#REF!</v>
      </c>
      <c r="S6" s="57" t="e">
        <f ca="1">INDEX(Sheet1!Q:Q,MATCH(#REF!,INDIRECT("sheet1!"&amp;VLOOKUP(Sheet1!$J$1,帮助!$BR:$BS,2,FALSE)&amp;":"&amp;VLOOKUP(Sheet1!$J$1,帮助!$BR:$BS,2,FALSE)),0))</f>
        <v>#REF!</v>
      </c>
      <c r="T6" s="57" t="e">
        <f ca="1">INDEX(Sheet1!R:R,MATCH(#REF!,INDIRECT("sheet1!"&amp;VLOOKUP(Sheet1!$J$1,帮助!$BR:$BS,2,FALSE)&amp;":"&amp;VLOOKUP(Sheet1!$J$1,帮助!$BR:$BS,2,FALSE)),0))</f>
        <v>#REF!</v>
      </c>
      <c r="U6" s="57" t="e">
        <f ca="1">INDEX(Sheet1!S:S,MATCH(#REF!,INDIRECT("sheet1!"&amp;VLOOKUP(Sheet1!$J$1,帮助!$BR:$BS,2,FALSE)&amp;":"&amp;VLOOKUP(Sheet1!$J$1,帮助!$BR:$BS,2,FALSE)),0))</f>
        <v>#REF!</v>
      </c>
    </row>
    <row r="7" spans="2:21">
      <c r="B7" s="57" t="e">
        <f ca="1">INDEX(Sheet1!A:A,MATCH(#REF!,INDIRECT("sheet1!"&amp;VLOOKUP(Sheet1!$J$1,帮助!$BR:$BS,2,FALSE)&amp;":"&amp;VLOOKUP(Sheet1!$J$1,帮助!$BR:$BS,2,FALSE)),0))</f>
        <v>#REF!</v>
      </c>
      <c r="C7" s="57" t="e">
        <f ca="1">INDEX(Sheet1!B:B,MATCH(#REF!,INDIRECT("sheet1!"&amp;VLOOKUP(Sheet1!$J$1,帮助!$BR:$BS,2,FALSE)&amp;":"&amp;VLOOKUP(Sheet1!$J$1,帮助!$BR:$BS,2,FALSE)),0))</f>
        <v>#REF!</v>
      </c>
      <c r="D7" s="57" t="e">
        <f ca="1">INDEX(Sheet1!D:D,MATCH(#REF!,INDIRECT("sheet1!"&amp;VLOOKUP(Sheet1!$J$1,帮助!$BR:$BS,2,FALSE)&amp;":"&amp;VLOOKUP(Sheet1!$J$1,帮助!$BR:$BS,2,FALSE)),0))</f>
        <v>#REF!</v>
      </c>
      <c r="E7" s="57" t="e">
        <f ca="1">INDEX(Sheet1!E:E,MATCH(#REF!,INDIRECT("sheet1!"&amp;VLOOKUP(Sheet1!$J$1,帮助!$BR:$BS,2,FALSE)&amp;":"&amp;VLOOKUP(Sheet1!$J$1,帮助!$BR:$BS,2,FALSE)),0))</f>
        <v>#REF!</v>
      </c>
      <c r="F7" s="57" t="e">
        <f ca="1">INDEX(Sheet1!F:F,MATCH(#REF!,INDIRECT("sheet1!"&amp;VLOOKUP(Sheet1!$J$1,帮助!$BR:$BS,2,FALSE)&amp;":"&amp;VLOOKUP(Sheet1!$J$1,帮助!$BR:$BS,2,FALSE)),0))</f>
        <v>#REF!</v>
      </c>
      <c r="G7" s="57" t="e">
        <f ca="1">INDEX(Sheet1!G:G,MATCH(#REF!,INDIRECT("sheet1!"&amp;VLOOKUP(Sheet1!$J$1,帮助!$BR:$BS,2,FALSE)&amp;":"&amp;VLOOKUP(Sheet1!$J$1,帮助!$BR:$BS,2,FALSE)),0))</f>
        <v>#REF!</v>
      </c>
      <c r="H7" s="57" t="e">
        <f ca="1">INDEX(Sheet1!H:H,MATCH(#REF!,INDIRECT("sheet1!"&amp;VLOOKUP(Sheet1!$J$1,帮助!$BR:$BS,2,FALSE)&amp;":"&amp;VLOOKUP(Sheet1!$J$1,帮助!$BR:$BS,2,FALSE)),0))</f>
        <v>#REF!</v>
      </c>
      <c r="I7" s="57" t="e">
        <f ca="1">INDEX(Sheet1!I:I,MATCH(#REF!,INDIRECT("sheet1!"&amp;VLOOKUP(Sheet1!$J$1,帮助!$BR:$BS,2,FALSE)&amp;":"&amp;VLOOKUP(Sheet1!$J$1,帮助!$BR:$BS,2,FALSE)),0))</f>
        <v>#REF!</v>
      </c>
      <c r="J7" s="57" t="e">
        <f ca="1">INDEX(Sheet1!J:J,MATCH(#REF!,INDIRECT("sheet1!"&amp;VLOOKUP(Sheet1!$J$1,帮助!$BR:$BS,2,FALSE)&amp;":"&amp;VLOOKUP(Sheet1!$J$1,帮助!$BR:$BS,2,FALSE)),0))</f>
        <v>#REF!</v>
      </c>
      <c r="K7" s="57" t="e">
        <f ca="1">INDEX(Sheet1!K:K,MATCH(#REF!,INDIRECT("sheet1!"&amp;VLOOKUP(Sheet1!$J$1,帮助!$BR:$BS,2,FALSE)&amp;":"&amp;VLOOKUP(Sheet1!$J$1,帮助!$BR:$BS,2,FALSE)),0))</f>
        <v>#REF!</v>
      </c>
      <c r="L7" s="57" t="e">
        <f ca="1">INDEX(Sheet1!L:L,MATCH(#REF!,INDIRECT("sheet1!"&amp;VLOOKUP(Sheet1!$J$1,帮助!$BR:$BS,2,FALSE)&amp;":"&amp;VLOOKUP(Sheet1!$J$1,帮助!$BR:$BS,2,FALSE)),0))</f>
        <v>#REF!</v>
      </c>
      <c r="M7" s="57" t="e">
        <f ca="1">INDEX(Sheet1!M:M,MATCH(#REF!,INDIRECT("sheet1!"&amp;VLOOKUP(Sheet1!$J$1,帮助!$BR:$BS,2,FALSE)&amp;":"&amp;VLOOKUP(Sheet1!$J$1,帮助!$BR:$BS,2,FALSE)),0))</f>
        <v>#REF!</v>
      </c>
      <c r="N7" s="57" t="e">
        <f ca="1">INDEX(Sheet1!N:N,MATCH(#REF!,INDIRECT("sheet1!"&amp;VLOOKUP(Sheet1!$J$1,帮助!$BR:$BS,2,FALSE)&amp;":"&amp;VLOOKUP(Sheet1!$J$1,帮助!$BR:$BS,2,FALSE)),0))</f>
        <v>#REF!</v>
      </c>
      <c r="O7" s="57" t="e">
        <f ca="1">INDEX(Sheet1!#REF!,MATCH(#REF!,INDIRECT("sheet1!"&amp;VLOOKUP(Sheet1!$J$1,帮助!$BR:$BS,2,FALSE)&amp;":"&amp;VLOOKUP(Sheet1!$J$1,帮助!$BR:$BS,2,FALSE)),0))</f>
        <v>#REF!</v>
      </c>
      <c r="P7" s="57" t="e">
        <f ca="1">INDEX(Sheet1!#REF!,MATCH(#REF!,INDIRECT("sheet1!"&amp;VLOOKUP(Sheet1!$J$1,帮助!$BR:$BS,2,FALSE)&amp;":"&amp;VLOOKUP(Sheet1!$J$1,帮助!$BR:$BS,2,FALSE)),0))</f>
        <v>#REF!</v>
      </c>
      <c r="Q7" s="57" t="e">
        <f ca="1">INDEX(Sheet1!O:O,MATCH(#REF!,INDIRECT("sheet1!"&amp;VLOOKUP(Sheet1!$J$1,帮助!$BR:$BS,2,FALSE)&amp;":"&amp;VLOOKUP(Sheet1!$J$1,帮助!$BR:$BS,2,FALSE)),0))</f>
        <v>#REF!</v>
      </c>
      <c r="R7" s="57" t="e">
        <f ca="1">INDEX(Sheet1!P:P,MATCH(#REF!,INDIRECT("sheet1!"&amp;VLOOKUP(Sheet1!$J$1,帮助!$BR:$BS,2,FALSE)&amp;":"&amp;VLOOKUP(Sheet1!$J$1,帮助!$BR:$BS,2,FALSE)),0))</f>
        <v>#REF!</v>
      </c>
      <c r="S7" s="57" t="e">
        <f ca="1">INDEX(Sheet1!Q:Q,MATCH(#REF!,INDIRECT("sheet1!"&amp;VLOOKUP(Sheet1!$J$1,帮助!$BR:$BS,2,FALSE)&amp;":"&amp;VLOOKUP(Sheet1!$J$1,帮助!$BR:$BS,2,FALSE)),0))</f>
        <v>#REF!</v>
      </c>
      <c r="T7" s="57" t="e">
        <f ca="1">INDEX(Sheet1!R:R,MATCH(#REF!,INDIRECT("sheet1!"&amp;VLOOKUP(Sheet1!$J$1,帮助!$BR:$BS,2,FALSE)&amp;":"&amp;VLOOKUP(Sheet1!$J$1,帮助!$BR:$BS,2,FALSE)),0))</f>
        <v>#REF!</v>
      </c>
      <c r="U7" s="57" t="e">
        <f ca="1">INDEX(Sheet1!S:S,MATCH(#REF!,INDIRECT("sheet1!"&amp;VLOOKUP(Sheet1!$J$1,帮助!$BR:$BS,2,FALSE)&amp;":"&amp;VLOOKUP(Sheet1!$J$1,帮助!$BR:$BS,2,FALSE)),0))</f>
        <v>#REF!</v>
      </c>
    </row>
    <row r="8" spans="2:21">
      <c r="B8" s="57" t="e">
        <f ca="1">INDEX(Sheet1!A:A,MATCH(#REF!,INDIRECT("sheet1!"&amp;VLOOKUP(Sheet1!$J$1,帮助!$BR:$BS,2,FALSE)&amp;":"&amp;VLOOKUP(Sheet1!$J$1,帮助!$BR:$BS,2,FALSE)),0))</f>
        <v>#REF!</v>
      </c>
      <c r="C8" s="57" t="e">
        <f ca="1">INDEX(Sheet1!B:B,MATCH(#REF!,INDIRECT("sheet1!"&amp;VLOOKUP(Sheet1!$J$1,帮助!$BR:$BS,2,FALSE)&amp;":"&amp;VLOOKUP(Sheet1!$J$1,帮助!$BR:$BS,2,FALSE)),0))</f>
        <v>#REF!</v>
      </c>
      <c r="D8" s="57" t="e">
        <f ca="1">INDEX(Sheet1!D:D,MATCH(#REF!,INDIRECT("sheet1!"&amp;VLOOKUP(Sheet1!$J$1,帮助!$BR:$BS,2,FALSE)&amp;":"&amp;VLOOKUP(Sheet1!$J$1,帮助!$BR:$BS,2,FALSE)),0))</f>
        <v>#REF!</v>
      </c>
      <c r="E8" s="57" t="e">
        <f ca="1">INDEX(Sheet1!E:E,MATCH(#REF!,INDIRECT("sheet1!"&amp;VLOOKUP(Sheet1!$J$1,帮助!$BR:$BS,2,FALSE)&amp;":"&amp;VLOOKUP(Sheet1!$J$1,帮助!$BR:$BS,2,FALSE)),0))</f>
        <v>#REF!</v>
      </c>
      <c r="F8" s="57" t="e">
        <f ca="1">INDEX(Sheet1!F:F,MATCH(#REF!,INDIRECT("sheet1!"&amp;VLOOKUP(Sheet1!$J$1,帮助!$BR:$BS,2,FALSE)&amp;":"&amp;VLOOKUP(Sheet1!$J$1,帮助!$BR:$BS,2,FALSE)),0))</f>
        <v>#REF!</v>
      </c>
      <c r="G8" s="57" t="e">
        <f ca="1">INDEX(Sheet1!G:G,MATCH(#REF!,INDIRECT("sheet1!"&amp;VLOOKUP(Sheet1!$J$1,帮助!$BR:$BS,2,FALSE)&amp;":"&amp;VLOOKUP(Sheet1!$J$1,帮助!$BR:$BS,2,FALSE)),0))</f>
        <v>#REF!</v>
      </c>
      <c r="H8" s="57" t="e">
        <f ca="1">INDEX(Sheet1!H:H,MATCH(#REF!,INDIRECT("sheet1!"&amp;VLOOKUP(Sheet1!$J$1,帮助!$BR:$BS,2,FALSE)&amp;":"&amp;VLOOKUP(Sheet1!$J$1,帮助!$BR:$BS,2,FALSE)),0))</f>
        <v>#REF!</v>
      </c>
      <c r="I8" s="57" t="e">
        <f ca="1">INDEX(Sheet1!I:I,MATCH(#REF!,INDIRECT("sheet1!"&amp;VLOOKUP(Sheet1!$J$1,帮助!$BR:$BS,2,FALSE)&amp;":"&amp;VLOOKUP(Sheet1!$J$1,帮助!$BR:$BS,2,FALSE)),0))</f>
        <v>#REF!</v>
      </c>
      <c r="J8" s="57" t="e">
        <f ca="1">INDEX(Sheet1!J:J,MATCH(#REF!,INDIRECT("sheet1!"&amp;VLOOKUP(Sheet1!$J$1,帮助!$BR:$BS,2,FALSE)&amp;":"&amp;VLOOKUP(Sheet1!$J$1,帮助!$BR:$BS,2,FALSE)),0))</f>
        <v>#REF!</v>
      </c>
      <c r="K8" s="57" t="e">
        <f ca="1">INDEX(Sheet1!K:K,MATCH(#REF!,INDIRECT("sheet1!"&amp;VLOOKUP(Sheet1!$J$1,帮助!$BR:$BS,2,FALSE)&amp;":"&amp;VLOOKUP(Sheet1!$J$1,帮助!$BR:$BS,2,FALSE)),0))</f>
        <v>#REF!</v>
      </c>
      <c r="L8" s="57" t="e">
        <f ca="1">INDEX(Sheet1!L:L,MATCH(#REF!,INDIRECT("sheet1!"&amp;VLOOKUP(Sheet1!$J$1,帮助!$BR:$BS,2,FALSE)&amp;":"&amp;VLOOKUP(Sheet1!$J$1,帮助!$BR:$BS,2,FALSE)),0))</f>
        <v>#REF!</v>
      </c>
      <c r="M8" s="57" t="e">
        <f ca="1">INDEX(Sheet1!M:M,MATCH(#REF!,INDIRECT("sheet1!"&amp;VLOOKUP(Sheet1!$J$1,帮助!$BR:$BS,2,FALSE)&amp;":"&amp;VLOOKUP(Sheet1!$J$1,帮助!$BR:$BS,2,FALSE)),0))</f>
        <v>#REF!</v>
      </c>
      <c r="N8" s="57" t="e">
        <f ca="1">INDEX(Sheet1!N:N,MATCH(#REF!,INDIRECT("sheet1!"&amp;VLOOKUP(Sheet1!$J$1,帮助!$BR:$BS,2,FALSE)&amp;":"&amp;VLOOKUP(Sheet1!$J$1,帮助!$BR:$BS,2,FALSE)),0))</f>
        <v>#REF!</v>
      </c>
      <c r="O8" s="57" t="e">
        <f ca="1">INDEX(Sheet1!#REF!,MATCH(#REF!,INDIRECT("sheet1!"&amp;VLOOKUP(Sheet1!$J$1,帮助!$BR:$BS,2,FALSE)&amp;":"&amp;VLOOKUP(Sheet1!$J$1,帮助!$BR:$BS,2,FALSE)),0))</f>
        <v>#REF!</v>
      </c>
      <c r="P8" s="57" t="e">
        <f ca="1">INDEX(Sheet1!#REF!,MATCH(#REF!,INDIRECT("sheet1!"&amp;VLOOKUP(Sheet1!$J$1,帮助!$BR:$BS,2,FALSE)&amp;":"&amp;VLOOKUP(Sheet1!$J$1,帮助!$BR:$BS,2,FALSE)),0))</f>
        <v>#REF!</v>
      </c>
      <c r="Q8" s="57" t="e">
        <f ca="1">INDEX(Sheet1!O:O,MATCH(#REF!,INDIRECT("sheet1!"&amp;VLOOKUP(Sheet1!$J$1,帮助!$BR:$BS,2,FALSE)&amp;":"&amp;VLOOKUP(Sheet1!$J$1,帮助!$BR:$BS,2,FALSE)),0))</f>
        <v>#REF!</v>
      </c>
      <c r="R8" s="57" t="e">
        <f ca="1">INDEX(Sheet1!P:P,MATCH(#REF!,INDIRECT("sheet1!"&amp;VLOOKUP(Sheet1!$J$1,帮助!$BR:$BS,2,FALSE)&amp;":"&amp;VLOOKUP(Sheet1!$J$1,帮助!$BR:$BS,2,FALSE)),0))</f>
        <v>#REF!</v>
      </c>
      <c r="S8" s="57" t="e">
        <f ca="1">INDEX(Sheet1!Q:Q,MATCH(#REF!,INDIRECT("sheet1!"&amp;VLOOKUP(Sheet1!$J$1,帮助!$BR:$BS,2,FALSE)&amp;":"&amp;VLOOKUP(Sheet1!$J$1,帮助!$BR:$BS,2,FALSE)),0))</f>
        <v>#REF!</v>
      </c>
      <c r="T8" s="57" t="e">
        <f ca="1">INDEX(Sheet1!R:R,MATCH(#REF!,INDIRECT("sheet1!"&amp;VLOOKUP(Sheet1!$J$1,帮助!$BR:$BS,2,FALSE)&amp;":"&amp;VLOOKUP(Sheet1!$J$1,帮助!$BR:$BS,2,FALSE)),0))</f>
        <v>#REF!</v>
      </c>
      <c r="U8" s="57" t="e">
        <f ca="1">INDEX(Sheet1!S:S,MATCH(#REF!,INDIRECT("sheet1!"&amp;VLOOKUP(Sheet1!$J$1,帮助!$BR:$BS,2,FALSE)&amp;":"&amp;VLOOKUP(Sheet1!$J$1,帮助!$BR:$BS,2,FALSE)),0))</f>
        <v>#REF!</v>
      </c>
    </row>
    <row r="9" spans="2:21">
      <c r="B9" s="57" t="e">
        <f ca="1">INDEX(Sheet1!A:A,MATCH(#REF!,INDIRECT("sheet1!"&amp;VLOOKUP(Sheet1!$J$1,帮助!$BR:$BS,2,FALSE)&amp;":"&amp;VLOOKUP(Sheet1!$J$1,帮助!$BR:$BS,2,FALSE)),0))</f>
        <v>#REF!</v>
      </c>
      <c r="C9" s="57" t="e">
        <f ca="1">INDEX(Sheet1!B:B,MATCH(#REF!,INDIRECT("sheet1!"&amp;VLOOKUP(Sheet1!$J$1,帮助!$BR:$BS,2,FALSE)&amp;":"&amp;VLOOKUP(Sheet1!$J$1,帮助!$BR:$BS,2,FALSE)),0))</f>
        <v>#REF!</v>
      </c>
      <c r="D9" s="57" t="e">
        <f ca="1">INDEX(Sheet1!D:D,MATCH(#REF!,INDIRECT("sheet1!"&amp;VLOOKUP(Sheet1!$J$1,帮助!$BR:$BS,2,FALSE)&amp;":"&amp;VLOOKUP(Sheet1!$J$1,帮助!$BR:$BS,2,FALSE)),0))</f>
        <v>#REF!</v>
      </c>
      <c r="E9" s="57" t="e">
        <f ca="1">INDEX(Sheet1!E:E,MATCH(#REF!,INDIRECT("sheet1!"&amp;VLOOKUP(Sheet1!$J$1,帮助!$BR:$BS,2,FALSE)&amp;":"&amp;VLOOKUP(Sheet1!$J$1,帮助!$BR:$BS,2,FALSE)),0))</f>
        <v>#REF!</v>
      </c>
      <c r="F9" s="57" t="e">
        <f ca="1">INDEX(Sheet1!F:F,MATCH(#REF!,INDIRECT("sheet1!"&amp;VLOOKUP(Sheet1!$J$1,帮助!$BR:$BS,2,FALSE)&amp;":"&amp;VLOOKUP(Sheet1!$J$1,帮助!$BR:$BS,2,FALSE)),0))</f>
        <v>#REF!</v>
      </c>
      <c r="G9" s="57" t="e">
        <f ca="1">INDEX(Sheet1!G:G,MATCH(#REF!,INDIRECT("sheet1!"&amp;VLOOKUP(Sheet1!$J$1,帮助!$BR:$BS,2,FALSE)&amp;":"&amp;VLOOKUP(Sheet1!$J$1,帮助!$BR:$BS,2,FALSE)),0))</f>
        <v>#REF!</v>
      </c>
      <c r="H9" s="57" t="e">
        <f ca="1">INDEX(Sheet1!H:H,MATCH(#REF!,INDIRECT("sheet1!"&amp;VLOOKUP(Sheet1!$J$1,帮助!$BR:$BS,2,FALSE)&amp;":"&amp;VLOOKUP(Sheet1!$J$1,帮助!$BR:$BS,2,FALSE)),0))</f>
        <v>#REF!</v>
      </c>
      <c r="I9" s="57" t="e">
        <f ca="1">INDEX(Sheet1!I:I,MATCH(#REF!,INDIRECT("sheet1!"&amp;VLOOKUP(Sheet1!$J$1,帮助!$BR:$BS,2,FALSE)&amp;":"&amp;VLOOKUP(Sheet1!$J$1,帮助!$BR:$BS,2,FALSE)),0))</f>
        <v>#REF!</v>
      </c>
      <c r="J9" s="57" t="e">
        <f ca="1">INDEX(Sheet1!J:J,MATCH(#REF!,INDIRECT("sheet1!"&amp;VLOOKUP(Sheet1!$J$1,帮助!$BR:$BS,2,FALSE)&amp;":"&amp;VLOOKUP(Sheet1!$J$1,帮助!$BR:$BS,2,FALSE)),0))</f>
        <v>#REF!</v>
      </c>
      <c r="K9" s="57" t="e">
        <f ca="1">INDEX(Sheet1!K:K,MATCH(#REF!,INDIRECT("sheet1!"&amp;VLOOKUP(Sheet1!$J$1,帮助!$BR:$BS,2,FALSE)&amp;":"&amp;VLOOKUP(Sheet1!$J$1,帮助!$BR:$BS,2,FALSE)),0))</f>
        <v>#REF!</v>
      </c>
      <c r="L9" s="57" t="e">
        <f ca="1">INDEX(Sheet1!L:L,MATCH(#REF!,INDIRECT("sheet1!"&amp;VLOOKUP(Sheet1!$J$1,帮助!$BR:$BS,2,FALSE)&amp;":"&amp;VLOOKUP(Sheet1!$J$1,帮助!$BR:$BS,2,FALSE)),0))</f>
        <v>#REF!</v>
      </c>
      <c r="M9" s="57" t="e">
        <f ca="1">INDEX(Sheet1!M:M,MATCH(#REF!,INDIRECT("sheet1!"&amp;VLOOKUP(Sheet1!$J$1,帮助!$BR:$BS,2,FALSE)&amp;":"&amp;VLOOKUP(Sheet1!$J$1,帮助!$BR:$BS,2,FALSE)),0))</f>
        <v>#REF!</v>
      </c>
      <c r="N9" s="57" t="e">
        <f ca="1">INDEX(Sheet1!N:N,MATCH(#REF!,INDIRECT("sheet1!"&amp;VLOOKUP(Sheet1!$J$1,帮助!$BR:$BS,2,FALSE)&amp;":"&amp;VLOOKUP(Sheet1!$J$1,帮助!$BR:$BS,2,FALSE)),0))</f>
        <v>#REF!</v>
      </c>
      <c r="O9" s="57" t="e">
        <f ca="1">INDEX(Sheet1!#REF!,MATCH(#REF!,INDIRECT("sheet1!"&amp;VLOOKUP(Sheet1!$J$1,帮助!$BR:$BS,2,FALSE)&amp;":"&amp;VLOOKUP(Sheet1!$J$1,帮助!$BR:$BS,2,FALSE)),0))</f>
        <v>#REF!</v>
      </c>
      <c r="P9" s="57" t="e">
        <f ca="1">INDEX(Sheet1!#REF!,MATCH(#REF!,INDIRECT("sheet1!"&amp;VLOOKUP(Sheet1!$J$1,帮助!$BR:$BS,2,FALSE)&amp;":"&amp;VLOOKUP(Sheet1!$J$1,帮助!$BR:$BS,2,FALSE)),0))</f>
        <v>#REF!</v>
      </c>
      <c r="Q9" s="57" t="e">
        <f ca="1">INDEX(Sheet1!O:O,MATCH(#REF!,INDIRECT("sheet1!"&amp;VLOOKUP(Sheet1!$J$1,帮助!$BR:$BS,2,FALSE)&amp;":"&amp;VLOOKUP(Sheet1!$J$1,帮助!$BR:$BS,2,FALSE)),0))</f>
        <v>#REF!</v>
      </c>
      <c r="R9" s="57" t="e">
        <f ca="1">INDEX(Sheet1!P:P,MATCH(#REF!,INDIRECT("sheet1!"&amp;VLOOKUP(Sheet1!$J$1,帮助!$BR:$BS,2,FALSE)&amp;":"&amp;VLOOKUP(Sheet1!$J$1,帮助!$BR:$BS,2,FALSE)),0))</f>
        <v>#REF!</v>
      </c>
      <c r="S9" s="57" t="e">
        <f ca="1">INDEX(Sheet1!Q:Q,MATCH(#REF!,INDIRECT("sheet1!"&amp;VLOOKUP(Sheet1!$J$1,帮助!$BR:$BS,2,FALSE)&amp;":"&amp;VLOOKUP(Sheet1!$J$1,帮助!$BR:$BS,2,FALSE)),0))</f>
        <v>#REF!</v>
      </c>
      <c r="T9" s="57" t="e">
        <f ca="1">INDEX(Sheet1!R:R,MATCH(#REF!,INDIRECT("sheet1!"&amp;VLOOKUP(Sheet1!$J$1,帮助!$BR:$BS,2,FALSE)&amp;":"&amp;VLOOKUP(Sheet1!$J$1,帮助!$BR:$BS,2,FALSE)),0))</f>
        <v>#REF!</v>
      </c>
      <c r="U9" s="57" t="e">
        <f ca="1">INDEX(Sheet1!S:S,MATCH(#REF!,INDIRECT("sheet1!"&amp;VLOOKUP(Sheet1!$J$1,帮助!$BR:$BS,2,FALSE)&amp;":"&amp;VLOOKUP(Sheet1!$J$1,帮助!$BR:$BS,2,FALSE)),0))</f>
        <v>#REF!</v>
      </c>
    </row>
    <row r="10" spans="2:21">
      <c r="B10" s="57" t="e">
        <f ca="1">INDEX(Sheet1!A:A,MATCH(#REF!,INDIRECT("sheet1!"&amp;VLOOKUP(Sheet1!$J$1,帮助!$BR:$BS,2,FALSE)&amp;":"&amp;VLOOKUP(Sheet1!$J$1,帮助!$BR:$BS,2,FALSE)),0))</f>
        <v>#REF!</v>
      </c>
      <c r="C10" s="57" t="e">
        <f ca="1">INDEX(Sheet1!B:B,MATCH(#REF!,INDIRECT("sheet1!"&amp;VLOOKUP(Sheet1!$J$1,帮助!$BR:$BS,2,FALSE)&amp;":"&amp;VLOOKUP(Sheet1!$J$1,帮助!$BR:$BS,2,FALSE)),0))</f>
        <v>#REF!</v>
      </c>
      <c r="D10" s="57" t="e">
        <f ca="1">INDEX(Sheet1!D:D,MATCH(#REF!,INDIRECT("sheet1!"&amp;VLOOKUP(Sheet1!$J$1,帮助!$BR:$BS,2,FALSE)&amp;":"&amp;VLOOKUP(Sheet1!$J$1,帮助!$BR:$BS,2,FALSE)),0))</f>
        <v>#REF!</v>
      </c>
      <c r="E10" s="57" t="e">
        <f ca="1">INDEX(Sheet1!E:E,MATCH(#REF!,INDIRECT("sheet1!"&amp;VLOOKUP(Sheet1!$J$1,帮助!$BR:$BS,2,FALSE)&amp;":"&amp;VLOOKUP(Sheet1!$J$1,帮助!$BR:$BS,2,FALSE)),0))</f>
        <v>#REF!</v>
      </c>
      <c r="F10" s="57" t="e">
        <f ca="1">INDEX(Sheet1!F:F,MATCH(#REF!,INDIRECT("sheet1!"&amp;VLOOKUP(Sheet1!$J$1,帮助!$BR:$BS,2,FALSE)&amp;":"&amp;VLOOKUP(Sheet1!$J$1,帮助!$BR:$BS,2,FALSE)),0))</f>
        <v>#REF!</v>
      </c>
      <c r="G10" s="57" t="e">
        <f ca="1">INDEX(Sheet1!G:G,MATCH(#REF!,INDIRECT("sheet1!"&amp;VLOOKUP(Sheet1!$J$1,帮助!$BR:$BS,2,FALSE)&amp;":"&amp;VLOOKUP(Sheet1!$J$1,帮助!$BR:$BS,2,FALSE)),0))</f>
        <v>#REF!</v>
      </c>
      <c r="H10" s="57" t="e">
        <f ca="1">INDEX(Sheet1!H:H,MATCH(#REF!,INDIRECT("sheet1!"&amp;VLOOKUP(Sheet1!$J$1,帮助!$BR:$BS,2,FALSE)&amp;":"&amp;VLOOKUP(Sheet1!$J$1,帮助!$BR:$BS,2,FALSE)),0))</f>
        <v>#REF!</v>
      </c>
      <c r="I10" s="57" t="e">
        <f ca="1">INDEX(Sheet1!I:I,MATCH(#REF!,INDIRECT("sheet1!"&amp;VLOOKUP(Sheet1!$J$1,帮助!$BR:$BS,2,FALSE)&amp;":"&amp;VLOOKUP(Sheet1!$J$1,帮助!$BR:$BS,2,FALSE)),0))</f>
        <v>#REF!</v>
      </c>
      <c r="J10" s="57" t="e">
        <f ca="1">INDEX(Sheet1!J:J,MATCH(#REF!,INDIRECT("sheet1!"&amp;VLOOKUP(Sheet1!$J$1,帮助!$BR:$BS,2,FALSE)&amp;":"&amp;VLOOKUP(Sheet1!$J$1,帮助!$BR:$BS,2,FALSE)),0))</f>
        <v>#REF!</v>
      </c>
      <c r="K10" s="57" t="e">
        <f ca="1">INDEX(Sheet1!K:K,MATCH(#REF!,INDIRECT("sheet1!"&amp;VLOOKUP(Sheet1!$J$1,帮助!$BR:$BS,2,FALSE)&amp;":"&amp;VLOOKUP(Sheet1!$J$1,帮助!$BR:$BS,2,FALSE)),0))</f>
        <v>#REF!</v>
      </c>
      <c r="L10" s="57" t="e">
        <f ca="1">INDEX(Sheet1!L:L,MATCH(#REF!,INDIRECT("sheet1!"&amp;VLOOKUP(Sheet1!$J$1,帮助!$BR:$BS,2,FALSE)&amp;":"&amp;VLOOKUP(Sheet1!$J$1,帮助!$BR:$BS,2,FALSE)),0))</f>
        <v>#REF!</v>
      </c>
      <c r="M10" s="57" t="e">
        <f ca="1">INDEX(Sheet1!M:M,MATCH(#REF!,INDIRECT("sheet1!"&amp;VLOOKUP(Sheet1!$J$1,帮助!$BR:$BS,2,FALSE)&amp;":"&amp;VLOOKUP(Sheet1!$J$1,帮助!$BR:$BS,2,FALSE)),0))</f>
        <v>#REF!</v>
      </c>
      <c r="N10" s="57" t="e">
        <f ca="1">INDEX(Sheet1!N:N,MATCH(#REF!,INDIRECT("sheet1!"&amp;VLOOKUP(Sheet1!$J$1,帮助!$BR:$BS,2,FALSE)&amp;":"&amp;VLOOKUP(Sheet1!$J$1,帮助!$BR:$BS,2,FALSE)),0))</f>
        <v>#REF!</v>
      </c>
      <c r="O10" s="57" t="e">
        <f ca="1">INDEX(Sheet1!#REF!,MATCH(#REF!,INDIRECT("sheet1!"&amp;VLOOKUP(Sheet1!$J$1,帮助!$BR:$BS,2,FALSE)&amp;":"&amp;VLOOKUP(Sheet1!$J$1,帮助!$BR:$BS,2,FALSE)),0))</f>
        <v>#REF!</v>
      </c>
      <c r="P10" s="57" t="e">
        <f ca="1">INDEX(Sheet1!#REF!,MATCH(#REF!,INDIRECT("sheet1!"&amp;VLOOKUP(Sheet1!$J$1,帮助!$BR:$BS,2,FALSE)&amp;":"&amp;VLOOKUP(Sheet1!$J$1,帮助!$BR:$BS,2,FALSE)),0))</f>
        <v>#REF!</v>
      </c>
      <c r="Q10" s="57" t="e">
        <f ca="1">INDEX(Sheet1!O:O,MATCH(#REF!,INDIRECT("sheet1!"&amp;VLOOKUP(Sheet1!$J$1,帮助!$BR:$BS,2,FALSE)&amp;":"&amp;VLOOKUP(Sheet1!$J$1,帮助!$BR:$BS,2,FALSE)),0))</f>
        <v>#REF!</v>
      </c>
      <c r="R10" s="57" t="e">
        <f ca="1">INDEX(Sheet1!P:P,MATCH(#REF!,INDIRECT("sheet1!"&amp;VLOOKUP(Sheet1!$J$1,帮助!$BR:$BS,2,FALSE)&amp;":"&amp;VLOOKUP(Sheet1!$J$1,帮助!$BR:$BS,2,FALSE)),0))</f>
        <v>#REF!</v>
      </c>
      <c r="S10" s="57" t="e">
        <f ca="1">INDEX(Sheet1!Q:Q,MATCH(#REF!,INDIRECT("sheet1!"&amp;VLOOKUP(Sheet1!$J$1,帮助!$BR:$BS,2,FALSE)&amp;":"&amp;VLOOKUP(Sheet1!$J$1,帮助!$BR:$BS,2,FALSE)),0))</f>
        <v>#REF!</v>
      </c>
      <c r="T10" s="57" t="e">
        <f ca="1">INDEX(Sheet1!R:R,MATCH(#REF!,INDIRECT("sheet1!"&amp;VLOOKUP(Sheet1!$J$1,帮助!$BR:$BS,2,FALSE)&amp;":"&amp;VLOOKUP(Sheet1!$J$1,帮助!$BR:$BS,2,FALSE)),0))</f>
        <v>#REF!</v>
      </c>
      <c r="U10" s="57" t="e">
        <f ca="1">INDEX(Sheet1!S:S,MATCH(#REF!,INDIRECT("sheet1!"&amp;VLOOKUP(Sheet1!$J$1,帮助!$BR:$BS,2,FALSE)&amp;":"&amp;VLOOKUP(Sheet1!$J$1,帮助!$BR:$BS,2,FALSE)),0))</f>
        <v>#REF!</v>
      </c>
    </row>
    <row r="11" spans="2:21">
      <c r="B11" s="57" t="e">
        <f ca="1">INDEX(Sheet1!A:A,MATCH(#REF!,INDIRECT("sheet1!"&amp;VLOOKUP(Sheet1!$J$1,帮助!$BR:$BS,2,FALSE)&amp;":"&amp;VLOOKUP(Sheet1!$J$1,帮助!$BR:$BS,2,FALSE)),0))</f>
        <v>#REF!</v>
      </c>
      <c r="C11" s="57" t="e">
        <f ca="1">INDEX(Sheet1!B:B,MATCH(#REF!,INDIRECT("sheet1!"&amp;VLOOKUP(Sheet1!$J$1,帮助!$BR:$BS,2,FALSE)&amp;":"&amp;VLOOKUP(Sheet1!$J$1,帮助!$BR:$BS,2,FALSE)),0))</f>
        <v>#REF!</v>
      </c>
      <c r="D11" s="57" t="e">
        <f ca="1">INDEX(Sheet1!D:D,MATCH(#REF!,INDIRECT("sheet1!"&amp;VLOOKUP(Sheet1!$J$1,帮助!$BR:$BS,2,FALSE)&amp;":"&amp;VLOOKUP(Sheet1!$J$1,帮助!$BR:$BS,2,FALSE)),0))</f>
        <v>#REF!</v>
      </c>
      <c r="E11" s="57" t="e">
        <f ca="1">INDEX(Sheet1!E:E,MATCH(#REF!,INDIRECT("sheet1!"&amp;VLOOKUP(Sheet1!$J$1,帮助!$BR:$BS,2,FALSE)&amp;":"&amp;VLOOKUP(Sheet1!$J$1,帮助!$BR:$BS,2,FALSE)),0))</f>
        <v>#REF!</v>
      </c>
      <c r="F11" s="57" t="e">
        <f ca="1">INDEX(Sheet1!F:F,MATCH(#REF!,INDIRECT("sheet1!"&amp;VLOOKUP(Sheet1!$J$1,帮助!$BR:$BS,2,FALSE)&amp;":"&amp;VLOOKUP(Sheet1!$J$1,帮助!$BR:$BS,2,FALSE)),0))</f>
        <v>#REF!</v>
      </c>
      <c r="G11" s="57" t="e">
        <f ca="1">INDEX(Sheet1!G:G,MATCH(#REF!,INDIRECT("sheet1!"&amp;VLOOKUP(Sheet1!$J$1,帮助!$BR:$BS,2,FALSE)&amp;":"&amp;VLOOKUP(Sheet1!$J$1,帮助!$BR:$BS,2,FALSE)),0))</f>
        <v>#REF!</v>
      </c>
      <c r="H11" s="57" t="e">
        <f ca="1">INDEX(Sheet1!H:H,MATCH(#REF!,INDIRECT("sheet1!"&amp;VLOOKUP(Sheet1!$J$1,帮助!$BR:$BS,2,FALSE)&amp;":"&amp;VLOOKUP(Sheet1!$J$1,帮助!$BR:$BS,2,FALSE)),0))</f>
        <v>#REF!</v>
      </c>
      <c r="I11" s="57" t="e">
        <f ca="1">INDEX(Sheet1!I:I,MATCH(#REF!,INDIRECT("sheet1!"&amp;VLOOKUP(Sheet1!$J$1,帮助!$BR:$BS,2,FALSE)&amp;":"&amp;VLOOKUP(Sheet1!$J$1,帮助!$BR:$BS,2,FALSE)),0))</f>
        <v>#REF!</v>
      </c>
      <c r="J11" s="57" t="e">
        <f ca="1">INDEX(Sheet1!J:J,MATCH(#REF!,INDIRECT("sheet1!"&amp;VLOOKUP(Sheet1!$J$1,帮助!$BR:$BS,2,FALSE)&amp;":"&amp;VLOOKUP(Sheet1!$J$1,帮助!$BR:$BS,2,FALSE)),0))</f>
        <v>#REF!</v>
      </c>
      <c r="K11" s="57" t="e">
        <f ca="1">INDEX(Sheet1!K:K,MATCH(#REF!,INDIRECT("sheet1!"&amp;VLOOKUP(Sheet1!$J$1,帮助!$BR:$BS,2,FALSE)&amp;":"&amp;VLOOKUP(Sheet1!$J$1,帮助!$BR:$BS,2,FALSE)),0))</f>
        <v>#REF!</v>
      </c>
      <c r="L11" s="57" t="e">
        <f ca="1">INDEX(Sheet1!L:L,MATCH(#REF!,INDIRECT("sheet1!"&amp;VLOOKUP(Sheet1!$J$1,帮助!$BR:$BS,2,FALSE)&amp;":"&amp;VLOOKUP(Sheet1!$J$1,帮助!$BR:$BS,2,FALSE)),0))</f>
        <v>#REF!</v>
      </c>
      <c r="M11" s="57" t="e">
        <f ca="1">INDEX(Sheet1!M:M,MATCH(#REF!,INDIRECT("sheet1!"&amp;VLOOKUP(Sheet1!$J$1,帮助!$BR:$BS,2,FALSE)&amp;":"&amp;VLOOKUP(Sheet1!$J$1,帮助!$BR:$BS,2,FALSE)),0))</f>
        <v>#REF!</v>
      </c>
      <c r="N11" s="57" t="e">
        <f ca="1">INDEX(Sheet1!N:N,MATCH(#REF!,INDIRECT("sheet1!"&amp;VLOOKUP(Sheet1!$J$1,帮助!$BR:$BS,2,FALSE)&amp;":"&amp;VLOOKUP(Sheet1!$J$1,帮助!$BR:$BS,2,FALSE)),0))</f>
        <v>#REF!</v>
      </c>
      <c r="O11" s="57" t="e">
        <f ca="1">INDEX(Sheet1!#REF!,MATCH(#REF!,INDIRECT("sheet1!"&amp;VLOOKUP(Sheet1!$J$1,帮助!$BR:$BS,2,FALSE)&amp;":"&amp;VLOOKUP(Sheet1!$J$1,帮助!$BR:$BS,2,FALSE)),0))</f>
        <v>#REF!</v>
      </c>
      <c r="P11" s="57" t="e">
        <f ca="1">INDEX(Sheet1!#REF!,MATCH(#REF!,INDIRECT("sheet1!"&amp;VLOOKUP(Sheet1!$J$1,帮助!$BR:$BS,2,FALSE)&amp;":"&amp;VLOOKUP(Sheet1!$J$1,帮助!$BR:$BS,2,FALSE)),0))</f>
        <v>#REF!</v>
      </c>
      <c r="Q11" s="57" t="e">
        <f ca="1">INDEX(Sheet1!O:O,MATCH(#REF!,INDIRECT("sheet1!"&amp;VLOOKUP(Sheet1!$J$1,帮助!$BR:$BS,2,FALSE)&amp;":"&amp;VLOOKUP(Sheet1!$J$1,帮助!$BR:$BS,2,FALSE)),0))</f>
        <v>#REF!</v>
      </c>
      <c r="R11" s="57" t="e">
        <f ca="1">INDEX(Sheet1!P:P,MATCH(#REF!,INDIRECT("sheet1!"&amp;VLOOKUP(Sheet1!$J$1,帮助!$BR:$BS,2,FALSE)&amp;":"&amp;VLOOKUP(Sheet1!$J$1,帮助!$BR:$BS,2,FALSE)),0))</f>
        <v>#REF!</v>
      </c>
      <c r="S11" s="57" t="e">
        <f ca="1">INDEX(Sheet1!Q:Q,MATCH(#REF!,INDIRECT("sheet1!"&amp;VLOOKUP(Sheet1!$J$1,帮助!$BR:$BS,2,FALSE)&amp;":"&amp;VLOOKUP(Sheet1!$J$1,帮助!$BR:$BS,2,FALSE)),0))</f>
        <v>#REF!</v>
      </c>
      <c r="T11" s="57" t="e">
        <f ca="1">INDEX(Sheet1!R:R,MATCH(#REF!,INDIRECT("sheet1!"&amp;VLOOKUP(Sheet1!$J$1,帮助!$BR:$BS,2,FALSE)&amp;":"&amp;VLOOKUP(Sheet1!$J$1,帮助!$BR:$BS,2,FALSE)),0))</f>
        <v>#REF!</v>
      </c>
      <c r="U11" s="57" t="e">
        <f ca="1">INDEX(Sheet1!S:S,MATCH(#REF!,INDIRECT("sheet1!"&amp;VLOOKUP(Sheet1!$J$1,帮助!$BR:$BS,2,FALSE)&amp;":"&amp;VLOOKUP(Sheet1!$J$1,帮助!$BR:$BS,2,FALSE)),0))</f>
        <v>#REF!</v>
      </c>
    </row>
    <row r="12" spans="2:21">
      <c r="B12" s="57" t="e">
        <f ca="1">INDEX(Sheet1!A:A,MATCH(#REF!,INDIRECT("sheet1!"&amp;VLOOKUP(Sheet1!$J$1,帮助!$BR:$BS,2,FALSE)&amp;":"&amp;VLOOKUP(Sheet1!$J$1,帮助!$BR:$BS,2,FALSE)),0))</f>
        <v>#REF!</v>
      </c>
      <c r="C12" s="57" t="e">
        <f ca="1">INDEX(Sheet1!B:B,MATCH(#REF!,INDIRECT("sheet1!"&amp;VLOOKUP(Sheet1!$J$1,帮助!$BR:$BS,2,FALSE)&amp;":"&amp;VLOOKUP(Sheet1!$J$1,帮助!$BR:$BS,2,FALSE)),0))</f>
        <v>#REF!</v>
      </c>
      <c r="D12" s="57" t="e">
        <f ca="1">INDEX(Sheet1!D:D,MATCH(#REF!,INDIRECT("sheet1!"&amp;VLOOKUP(Sheet1!$J$1,帮助!$BR:$BS,2,FALSE)&amp;":"&amp;VLOOKUP(Sheet1!$J$1,帮助!$BR:$BS,2,FALSE)),0))</f>
        <v>#REF!</v>
      </c>
      <c r="E12" s="57" t="e">
        <f ca="1">INDEX(Sheet1!E:E,MATCH(#REF!,INDIRECT("sheet1!"&amp;VLOOKUP(Sheet1!$J$1,帮助!$BR:$BS,2,FALSE)&amp;":"&amp;VLOOKUP(Sheet1!$J$1,帮助!$BR:$BS,2,FALSE)),0))</f>
        <v>#REF!</v>
      </c>
      <c r="F12" s="57" t="e">
        <f ca="1">INDEX(Sheet1!F:F,MATCH(#REF!,INDIRECT("sheet1!"&amp;VLOOKUP(Sheet1!$J$1,帮助!$BR:$BS,2,FALSE)&amp;":"&amp;VLOOKUP(Sheet1!$J$1,帮助!$BR:$BS,2,FALSE)),0))</f>
        <v>#REF!</v>
      </c>
      <c r="G12" s="57" t="e">
        <f ca="1">INDEX(Sheet1!G:G,MATCH(#REF!,INDIRECT("sheet1!"&amp;VLOOKUP(Sheet1!$J$1,帮助!$BR:$BS,2,FALSE)&amp;":"&amp;VLOOKUP(Sheet1!$J$1,帮助!$BR:$BS,2,FALSE)),0))</f>
        <v>#REF!</v>
      </c>
      <c r="H12" s="57" t="e">
        <f ca="1">INDEX(Sheet1!H:H,MATCH(#REF!,INDIRECT("sheet1!"&amp;VLOOKUP(Sheet1!$J$1,帮助!$BR:$BS,2,FALSE)&amp;":"&amp;VLOOKUP(Sheet1!$J$1,帮助!$BR:$BS,2,FALSE)),0))</f>
        <v>#REF!</v>
      </c>
      <c r="I12" s="57" t="e">
        <f ca="1">INDEX(Sheet1!I:I,MATCH(#REF!,INDIRECT("sheet1!"&amp;VLOOKUP(Sheet1!$J$1,帮助!$BR:$BS,2,FALSE)&amp;":"&amp;VLOOKUP(Sheet1!$J$1,帮助!$BR:$BS,2,FALSE)),0))</f>
        <v>#REF!</v>
      </c>
      <c r="J12" s="57" t="e">
        <f ca="1">INDEX(Sheet1!J:J,MATCH(#REF!,INDIRECT("sheet1!"&amp;VLOOKUP(Sheet1!$J$1,帮助!$BR:$BS,2,FALSE)&amp;":"&amp;VLOOKUP(Sheet1!$J$1,帮助!$BR:$BS,2,FALSE)),0))</f>
        <v>#REF!</v>
      </c>
      <c r="K12" s="57" t="e">
        <f ca="1">INDEX(Sheet1!K:K,MATCH(#REF!,INDIRECT("sheet1!"&amp;VLOOKUP(Sheet1!$J$1,帮助!$BR:$BS,2,FALSE)&amp;":"&amp;VLOOKUP(Sheet1!$J$1,帮助!$BR:$BS,2,FALSE)),0))</f>
        <v>#REF!</v>
      </c>
      <c r="L12" s="57" t="e">
        <f ca="1">INDEX(Sheet1!L:L,MATCH(#REF!,INDIRECT("sheet1!"&amp;VLOOKUP(Sheet1!$J$1,帮助!$BR:$BS,2,FALSE)&amp;":"&amp;VLOOKUP(Sheet1!$J$1,帮助!$BR:$BS,2,FALSE)),0))</f>
        <v>#REF!</v>
      </c>
      <c r="M12" s="57" t="e">
        <f ca="1">INDEX(Sheet1!M:M,MATCH(#REF!,INDIRECT("sheet1!"&amp;VLOOKUP(Sheet1!$J$1,帮助!$BR:$BS,2,FALSE)&amp;":"&amp;VLOOKUP(Sheet1!$J$1,帮助!$BR:$BS,2,FALSE)),0))</f>
        <v>#REF!</v>
      </c>
      <c r="N12" s="57" t="e">
        <f ca="1">INDEX(Sheet1!N:N,MATCH(#REF!,INDIRECT("sheet1!"&amp;VLOOKUP(Sheet1!$J$1,帮助!$BR:$BS,2,FALSE)&amp;":"&amp;VLOOKUP(Sheet1!$J$1,帮助!$BR:$BS,2,FALSE)),0))</f>
        <v>#REF!</v>
      </c>
      <c r="O12" s="57" t="e">
        <f ca="1">INDEX(Sheet1!#REF!,MATCH(#REF!,INDIRECT("sheet1!"&amp;VLOOKUP(Sheet1!$J$1,帮助!$BR:$BS,2,FALSE)&amp;":"&amp;VLOOKUP(Sheet1!$J$1,帮助!$BR:$BS,2,FALSE)),0))</f>
        <v>#REF!</v>
      </c>
      <c r="P12" s="57" t="e">
        <f ca="1">INDEX(Sheet1!#REF!,MATCH(#REF!,INDIRECT("sheet1!"&amp;VLOOKUP(Sheet1!$J$1,帮助!$BR:$BS,2,FALSE)&amp;":"&amp;VLOOKUP(Sheet1!$J$1,帮助!$BR:$BS,2,FALSE)),0))</f>
        <v>#REF!</v>
      </c>
      <c r="Q12" s="57" t="e">
        <f ca="1">INDEX(Sheet1!O:O,MATCH(#REF!,INDIRECT("sheet1!"&amp;VLOOKUP(Sheet1!$J$1,帮助!$BR:$BS,2,FALSE)&amp;":"&amp;VLOOKUP(Sheet1!$J$1,帮助!$BR:$BS,2,FALSE)),0))</f>
        <v>#REF!</v>
      </c>
      <c r="R12" s="57" t="e">
        <f ca="1">INDEX(Sheet1!P:P,MATCH(#REF!,INDIRECT("sheet1!"&amp;VLOOKUP(Sheet1!$J$1,帮助!$BR:$BS,2,FALSE)&amp;":"&amp;VLOOKUP(Sheet1!$J$1,帮助!$BR:$BS,2,FALSE)),0))</f>
        <v>#REF!</v>
      </c>
      <c r="S12" s="57" t="e">
        <f ca="1">INDEX(Sheet1!Q:Q,MATCH(#REF!,INDIRECT("sheet1!"&amp;VLOOKUP(Sheet1!$J$1,帮助!$BR:$BS,2,FALSE)&amp;":"&amp;VLOOKUP(Sheet1!$J$1,帮助!$BR:$BS,2,FALSE)),0))</f>
        <v>#REF!</v>
      </c>
      <c r="T12" s="57" t="e">
        <f ca="1">INDEX(Sheet1!R:R,MATCH(#REF!,INDIRECT("sheet1!"&amp;VLOOKUP(Sheet1!$J$1,帮助!$BR:$BS,2,FALSE)&amp;":"&amp;VLOOKUP(Sheet1!$J$1,帮助!$BR:$BS,2,FALSE)),0))</f>
        <v>#REF!</v>
      </c>
      <c r="U12" s="57" t="e">
        <f ca="1">INDEX(Sheet1!S:S,MATCH(#REF!,INDIRECT("sheet1!"&amp;VLOOKUP(Sheet1!$J$1,帮助!$BR:$BS,2,FALSE)&amp;":"&amp;VLOOKUP(Sheet1!$J$1,帮助!$BR:$BS,2,FALSE)),0))</f>
        <v>#REF!</v>
      </c>
    </row>
    <row r="13" spans="2:21">
      <c r="B13" s="57" t="e">
        <f ca="1">INDEX(Sheet1!A:A,MATCH(#REF!,INDIRECT("sheet1!"&amp;VLOOKUP(Sheet1!$J$1,帮助!$BR:$BS,2,FALSE)&amp;":"&amp;VLOOKUP(Sheet1!$J$1,帮助!$BR:$BS,2,FALSE)),0))</f>
        <v>#REF!</v>
      </c>
      <c r="C13" s="57" t="e">
        <f ca="1">INDEX(Sheet1!B:B,MATCH(#REF!,INDIRECT("sheet1!"&amp;VLOOKUP(Sheet1!$J$1,帮助!$BR:$BS,2,FALSE)&amp;":"&amp;VLOOKUP(Sheet1!$J$1,帮助!$BR:$BS,2,FALSE)),0))</f>
        <v>#REF!</v>
      </c>
      <c r="D13" s="57" t="e">
        <f ca="1">INDEX(Sheet1!D:D,MATCH(#REF!,INDIRECT("sheet1!"&amp;VLOOKUP(Sheet1!$J$1,帮助!$BR:$BS,2,FALSE)&amp;":"&amp;VLOOKUP(Sheet1!$J$1,帮助!$BR:$BS,2,FALSE)),0))</f>
        <v>#REF!</v>
      </c>
      <c r="E13" s="57" t="e">
        <f ca="1">INDEX(Sheet1!E:E,MATCH(#REF!,INDIRECT("sheet1!"&amp;VLOOKUP(Sheet1!$J$1,帮助!$BR:$BS,2,FALSE)&amp;":"&amp;VLOOKUP(Sheet1!$J$1,帮助!$BR:$BS,2,FALSE)),0))</f>
        <v>#REF!</v>
      </c>
      <c r="F13" s="57" t="e">
        <f ca="1">INDEX(Sheet1!F:F,MATCH(#REF!,INDIRECT("sheet1!"&amp;VLOOKUP(Sheet1!$J$1,帮助!$BR:$BS,2,FALSE)&amp;":"&amp;VLOOKUP(Sheet1!$J$1,帮助!$BR:$BS,2,FALSE)),0))</f>
        <v>#REF!</v>
      </c>
      <c r="G13" s="57" t="e">
        <f ca="1">INDEX(Sheet1!G:G,MATCH(#REF!,INDIRECT("sheet1!"&amp;VLOOKUP(Sheet1!$J$1,帮助!$BR:$BS,2,FALSE)&amp;":"&amp;VLOOKUP(Sheet1!$J$1,帮助!$BR:$BS,2,FALSE)),0))</f>
        <v>#REF!</v>
      </c>
      <c r="H13" s="57" t="e">
        <f ca="1">INDEX(Sheet1!H:H,MATCH(#REF!,INDIRECT("sheet1!"&amp;VLOOKUP(Sheet1!$J$1,帮助!$BR:$BS,2,FALSE)&amp;":"&amp;VLOOKUP(Sheet1!$J$1,帮助!$BR:$BS,2,FALSE)),0))</f>
        <v>#REF!</v>
      </c>
      <c r="I13" s="57" t="e">
        <f ca="1">INDEX(Sheet1!I:I,MATCH(#REF!,INDIRECT("sheet1!"&amp;VLOOKUP(Sheet1!$J$1,帮助!$BR:$BS,2,FALSE)&amp;":"&amp;VLOOKUP(Sheet1!$J$1,帮助!$BR:$BS,2,FALSE)),0))</f>
        <v>#REF!</v>
      </c>
      <c r="J13" s="57" t="e">
        <f ca="1">INDEX(Sheet1!J:J,MATCH(#REF!,INDIRECT("sheet1!"&amp;VLOOKUP(Sheet1!$J$1,帮助!$BR:$BS,2,FALSE)&amp;":"&amp;VLOOKUP(Sheet1!$J$1,帮助!$BR:$BS,2,FALSE)),0))</f>
        <v>#REF!</v>
      </c>
      <c r="K13" s="57" t="e">
        <f ca="1">INDEX(Sheet1!K:K,MATCH(#REF!,INDIRECT("sheet1!"&amp;VLOOKUP(Sheet1!$J$1,帮助!$BR:$BS,2,FALSE)&amp;":"&amp;VLOOKUP(Sheet1!$J$1,帮助!$BR:$BS,2,FALSE)),0))</f>
        <v>#REF!</v>
      </c>
      <c r="L13" s="57" t="e">
        <f ca="1">INDEX(Sheet1!L:L,MATCH(#REF!,INDIRECT("sheet1!"&amp;VLOOKUP(Sheet1!$J$1,帮助!$BR:$BS,2,FALSE)&amp;":"&amp;VLOOKUP(Sheet1!$J$1,帮助!$BR:$BS,2,FALSE)),0))</f>
        <v>#REF!</v>
      </c>
      <c r="M13" s="57" t="e">
        <f ca="1">INDEX(Sheet1!M:M,MATCH(#REF!,INDIRECT("sheet1!"&amp;VLOOKUP(Sheet1!$J$1,帮助!$BR:$BS,2,FALSE)&amp;":"&amp;VLOOKUP(Sheet1!$J$1,帮助!$BR:$BS,2,FALSE)),0))</f>
        <v>#REF!</v>
      </c>
      <c r="N13" s="57" t="e">
        <f ca="1">INDEX(Sheet1!N:N,MATCH(#REF!,INDIRECT("sheet1!"&amp;VLOOKUP(Sheet1!$J$1,帮助!$BR:$BS,2,FALSE)&amp;":"&amp;VLOOKUP(Sheet1!$J$1,帮助!$BR:$BS,2,FALSE)),0))</f>
        <v>#REF!</v>
      </c>
      <c r="O13" s="57" t="e">
        <f ca="1">INDEX(Sheet1!#REF!,MATCH(#REF!,INDIRECT("sheet1!"&amp;VLOOKUP(Sheet1!$J$1,帮助!$BR:$BS,2,FALSE)&amp;":"&amp;VLOOKUP(Sheet1!$J$1,帮助!$BR:$BS,2,FALSE)),0))</f>
        <v>#REF!</v>
      </c>
      <c r="P13" s="57" t="e">
        <f ca="1">INDEX(Sheet1!#REF!,MATCH(#REF!,INDIRECT("sheet1!"&amp;VLOOKUP(Sheet1!$J$1,帮助!$BR:$BS,2,FALSE)&amp;":"&amp;VLOOKUP(Sheet1!$J$1,帮助!$BR:$BS,2,FALSE)),0))</f>
        <v>#REF!</v>
      </c>
      <c r="Q13" s="57" t="e">
        <f ca="1">INDEX(Sheet1!O:O,MATCH(#REF!,INDIRECT("sheet1!"&amp;VLOOKUP(Sheet1!$J$1,帮助!$BR:$BS,2,FALSE)&amp;":"&amp;VLOOKUP(Sheet1!$J$1,帮助!$BR:$BS,2,FALSE)),0))</f>
        <v>#REF!</v>
      </c>
      <c r="R13" s="57" t="e">
        <f ca="1">INDEX(Sheet1!P:P,MATCH(#REF!,INDIRECT("sheet1!"&amp;VLOOKUP(Sheet1!$J$1,帮助!$BR:$BS,2,FALSE)&amp;":"&amp;VLOOKUP(Sheet1!$J$1,帮助!$BR:$BS,2,FALSE)),0))</f>
        <v>#REF!</v>
      </c>
      <c r="S13" s="57" t="e">
        <f ca="1">INDEX(Sheet1!Q:Q,MATCH(#REF!,INDIRECT("sheet1!"&amp;VLOOKUP(Sheet1!$J$1,帮助!$BR:$BS,2,FALSE)&amp;":"&amp;VLOOKUP(Sheet1!$J$1,帮助!$BR:$BS,2,FALSE)),0))</f>
        <v>#REF!</v>
      </c>
      <c r="T13" s="57" t="e">
        <f ca="1">INDEX(Sheet1!R:R,MATCH(#REF!,INDIRECT("sheet1!"&amp;VLOOKUP(Sheet1!$J$1,帮助!$BR:$BS,2,FALSE)&amp;":"&amp;VLOOKUP(Sheet1!$J$1,帮助!$BR:$BS,2,FALSE)),0))</f>
        <v>#REF!</v>
      </c>
      <c r="U13" s="57" t="e">
        <f ca="1">INDEX(Sheet1!S:S,MATCH(#REF!,INDIRECT("sheet1!"&amp;VLOOKUP(Sheet1!$J$1,帮助!$BR:$BS,2,FALSE)&amp;":"&amp;VLOOKUP(Sheet1!$J$1,帮助!$BR:$BS,2,FALSE)),0))</f>
        <v>#REF!</v>
      </c>
    </row>
    <row r="14" spans="2:21">
      <c r="B14" s="57" t="e">
        <f ca="1">INDEX(Sheet1!A:A,MATCH(#REF!,INDIRECT("sheet1!"&amp;VLOOKUP(Sheet1!$J$1,帮助!$BR:$BS,2,FALSE)&amp;":"&amp;VLOOKUP(Sheet1!$J$1,帮助!$BR:$BS,2,FALSE)),0))</f>
        <v>#REF!</v>
      </c>
      <c r="C14" s="57" t="e">
        <f ca="1">INDEX(Sheet1!B:B,MATCH(#REF!,INDIRECT("sheet1!"&amp;VLOOKUP(Sheet1!$J$1,帮助!$BR:$BS,2,FALSE)&amp;":"&amp;VLOOKUP(Sheet1!$J$1,帮助!$BR:$BS,2,FALSE)),0))</f>
        <v>#REF!</v>
      </c>
      <c r="D14" s="57" t="e">
        <f ca="1">INDEX(Sheet1!D:D,MATCH(#REF!,INDIRECT("sheet1!"&amp;VLOOKUP(Sheet1!$J$1,帮助!$BR:$BS,2,FALSE)&amp;":"&amp;VLOOKUP(Sheet1!$J$1,帮助!$BR:$BS,2,FALSE)),0))</f>
        <v>#REF!</v>
      </c>
      <c r="E14" s="57" t="e">
        <f ca="1">INDEX(Sheet1!E:E,MATCH(#REF!,INDIRECT("sheet1!"&amp;VLOOKUP(Sheet1!$J$1,帮助!$BR:$BS,2,FALSE)&amp;":"&amp;VLOOKUP(Sheet1!$J$1,帮助!$BR:$BS,2,FALSE)),0))</f>
        <v>#REF!</v>
      </c>
      <c r="F14" s="57" t="e">
        <f ca="1">INDEX(Sheet1!F:F,MATCH(#REF!,INDIRECT("sheet1!"&amp;VLOOKUP(Sheet1!$J$1,帮助!$BR:$BS,2,FALSE)&amp;":"&amp;VLOOKUP(Sheet1!$J$1,帮助!$BR:$BS,2,FALSE)),0))</f>
        <v>#REF!</v>
      </c>
      <c r="G14" s="57" t="e">
        <f ca="1">INDEX(Sheet1!G:G,MATCH(#REF!,INDIRECT("sheet1!"&amp;VLOOKUP(Sheet1!$J$1,帮助!$BR:$BS,2,FALSE)&amp;":"&amp;VLOOKUP(Sheet1!$J$1,帮助!$BR:$BS,2,FALSE)),0))</f>
        <v>#REF!</v>
      </c>
      <c r="H14" s="57" t="e">
        <f ca="1">INDEX(Sheet1!H:H,MATCH(#REF!,INDIRECT("sheet1!"&amp;VLOOKUP(Sheet1!$J$1,帮助!$BR:$BS,2,FALSE)&amp;":"&amp;VLOOKUP(Sheet1!$J$1,帮助!$BR:$BS,2,FALSE)),0))</f>
        <v>#REF!</v>
      </c>
      <c r="I14" s="57" t="e">
        <f ca="1">INDEX(Sheet1!I:I,MATCH(#REF!,INDIRECT("sheet1!"&amp;VLOOKUP(Sheet1!$J$1,帮助!$BR:$BS,2,FALSE)&amp;":"&amp;VLOOKUP(Sheet1!$J$1,帮助!$BR:$BS,2,FALSE)),0))</f>
        <v>#REF!</v>
      </c>
      <c r="J14" s="57" t="e">
        <f ca="1">INDEX(Sheet1!J:J,MATCH(#REF!,INDIRECT("sheet1!"&amp;VLOOKUP(Sheet1!$J$1,帮助!$BR:$BS,2,FALSE)&amp;":"&amp;VLOOKUP(Sheet1!$J$1,帮助!$BR:$BS,2,FALSE)),0))</f>
        <v>#REF!</v>
      </c>
      <c r="K14" s="57" t="e">
        <f ca="1">INDEX(Sheet1!K:K,MATCH(#REF!,INDIRECT("sheet1!"&amp;VLOOKUP(Sheet1!$J$1,帮助!$BR:$BS,2,FALSE)&amp;":"&amp;VLOOKUP(Sheet1!$J$1,帮助!$BR:$BS,2,FALSE)),0))</f>
        <v>#REF!</v>
      </c>
      <c r="L14" s="57" t="e">
        <f ca="1">INDEX(Sheet1!L:L,MATCH(#REF!,INDIRECT("sheet1!"&amp;VLOOKUP(Sheet1!$J$1,帮助!$BR:$BS,2,FALSE)&amp;":"&amp;VLOOKUP(Sheet1!$J$1,帮助!$BR:$BS,2,FALSE)),0))</f>
        <v>#REF!</v>
      </c>
      <c r="M14" s="57" t="e">
        <f ca="1">INDEX(Sheet1!M:M,MATCH(#REF!,INDIRECT("sheet1!"&amp;VLOOKUP(Sheet1!$J$1,帮助!$BR:$BS,2,FALSE)&amp;":"&amp;VLOOKUP(Sheet1!$J$1,帮助!$BR:$BS,2,FALSE)),0))</f>
        <v>#REF!</v>
      </c>
      <c r="N14" s="57" t="e">
        <f ca="1">INDEX(Sheet1!N:N,MATCH(#REF!,INDIRECT("sheet1!"&amp;VLOOKUP(Sheet1!$J$1,帮助!$BR:$BS,2,FALSE)&amp;":"&amp;VLOOKUP(Sheet1!$J$1,帮助!$BR:$BS,2,FALSE)),0))</f>
        <v>#REF!</v>
      </c>
      <c r="O14" s="57" t="e">
        <f ca="1">INDEX(Sheet1!#REF!,MATCH(#REF!,INDIRECT("sheet1!"&amp;VLOOKUP(Sheet1!$J$1,帮助!$BR:$BS,2,FALSE)&amp;":"&amp;VLOOKUP(Sheet1!$J$1,帮助!$BR:$BS,2,FALSE)),0))</f>
        <v>#REF!</v>
      </c>
      <c r="P14" s="57" t="e">
        <f ca="1">INDEX(Sheet1!#REF!,MATCH(#REF!,INDIRECT("sheet1!"&amp;VLOOKUP(Sheet1!$J$1,帮助!$BR:$BS,2,FALSE)&amp;":"&amp;VLOOKUP(Sheet1!$J$1,帮助!$BR:$BS,2,FALSE)),0))</f>
        <v>#REF!</v>
      </c>
      <c r="Q14" s="57" t="e">
        <f ca="1">INDEX(Sheet1!O:O,MATCH(#REF!,INDIRECT("sheet1!"&amp;VLOOKUP(Sheet1!$J$1,帮助!$BR:$BS,2,FALSE)&amp;":"&amp;VLOOKUP(Sheet1!$J$1,帮助!$BR:$BS,2,FALSE)),0))</f>
        <v>#REF!</v>
      </c>
      <c r="R14" s="57" t="e">
        <f ca="1">INDEX(Sheet1!P:P,MATCH(#REF!,INDIRECT("sheet1!"&amp;VLOOKUP(Sheet1!$J$1,帮助!$BR:$BS,2,FALSE)&amp;":"&amp;VLOOKUP(Sheet1!$J$1,帮助!$BR:$BS,2,FALSE)),0))</f>
        <v>#REF!</v>
      </c>
      <c r="S14" s="57" t="e">
        <f ca="1">INDEX(Sheet1!Q:Q,MATCH(#REF!,INDIRECT("sheet1!"&amp;VLOOKUP(Sheet1!$J$1,帮助!$BR:$BS,2,FALSE)&amp;":"&amp;VLOOKUP(Sheet1!$J$1,帮助!$BR:$BS,2,FALSE)),0))</f>
        <v>#REF!</v>
      </c>
      <c r="T14" s="57" t="e">
        <f ca="1">INDEX(Sheet1!R:R,MATCH(#REF!,INDIRECT("sheet1!"&amp;VLOOKUP(Sheet1!$J$1,帮助!$BR:$BS,2,FALSE)&amp;":"&amp;VLOOKUP(Sheet1!$J$1,帮助!$BR:$BS,2,FALSE)),0))</f>
        <v>#REF!</v>
      </c>
      <c r="U14" s="57" t="e">
        <f ca="1">INDEX(Sheet1!S:S,MATCH(#REF!,INDIRECT("sheet1!"&amp;VLOOKUP(Sheet1!$J$1,帮助!$BR:$BS,2,FALSE)&amp;":"&amp;VLOOKUP(Sheet1!$J$1,帮助!$BR:$BS,2,FALSE)),0))</f>
        <v>#REF!</v>
      </c>
    </row>
    <row r="15" spans="2:21">
      <c r="B15" s="57" t="e">
        <f ca="1">INDEX(Sheet1!A:A,MATCH(#REF!,INDIRECT("sheet1!"&amp;VLOOKUP(Sheet1!$J$1,帮助!$BR:$BS,2,FALSE)&amp;":"&amp;VLOOKUP(Sheet1!$J$1,帮助!$BR:$BS,2,FALSE)),0))</f>
        <v>#REF!</v>
      </c>
      <c r="C15" s="57" t="e">
        <f ca="1">INDEX(Sheet1!B:B,MATCH(#REF!,INDIRECT("sheet1!"&amp;VLOOKUP(Sheet1!$J$1,帮助!$BR:$BS,2,FALSE)&amp;":"&amp;VLOOKUP(Sheet1!$J$1,帮助!$BR:$BS,2,FALSE)),0))</f>
        <v>#REF!</v>
      </c>
      <c r="D15" s="57" t="e">
        <f ca="1">INDEX(Sheet1!D:D,MATCH(#REF!,INDIRECT("sheet1!"&amp;VLOOKUP(Sheet1!$J$1,帮助!$BR:$BS,2,FALSE)&amp;":"&amp;VLOOKUP(Sheet1!$J$1,帮助!$BR:$BS,2,FALSE)),0))</f>
        <v>#REF!</v>
      </c>
      <c r="E15" s="57" t="e">
        <f ca="1">INDEX(Sheet1!E:E,MATCH(#REF!,INDIRECT("sheet1!"&amp;VLOOKUP(Sheet1!$J$1,帮助!$BR:$BS,2,FALSE)&amp;":"&amp;VLOOKUP(Sheet1!$J$1,帮助!$BR:$BS,2,FALSE)),0))</f>
        <v>#REF!</v>
      </c>
      <c r="F15" s="57" t="e">
        <f ca="1">INDEX(Sheet1!F:F,MATCH(#REF!,INDIRECT("sheet1!"&amp;VLOOKUP(Sheet1!$J$1,帮助!$BR:$BS,2,FALSE)&amp;":"&amp;VLOOKUP(Sheet1!$J$1,帮助!$BR:$BS,2,FALSE)),0))</f>
        <v>#REF!</v>
      </c>
      <c r="G15" s="57" t="e">
        <f ca="1">INDEX(Sheet1!G:G,MATCH(#REF!,INDIRECT("sheet1!"&amp;VLOOKUP(Sheet1!$J$1,帮助!$BR:$BS,2,FALSE)&amp;":"&amp;VLOOKUP(Sheet1!$J$1,帮助!$BR:$BS,2,FALSE)),0))</f>
        <v>#REF!</v>
      </c>
      <c r="H15" s="57" t="e">
        <f ca="1">INDEX(Sheet1!H:H,MATCH(#REF!,INDIRECT("sheet1!"&amp;VLOOKUP(Sheet1!$J$1,帮助!$BR:$BS,2,FALSE)&amp;":"&amp;VLOOKUP(Sheet1!$J$1,帮助!$BR:$BS,2,FALSE)),0))</f>
        <v>#REF!</v>
      </c>
      <c r="I15" s="57" t="e">
        <f ca="1">INDEX(Sheet1!I:I,MATCH(#REF!,INDIRECT("sheet1!"&amp;VLOOKUP(Sheet1!$J$1,帮助!$BR:$BS,2,FALSE)&amp;":"&amp;VLOOKUP(Sheet1!$J$1,帮助!$BR:$BS,2,FALSE)),0))</f>
        <v>#REF!</v>
      </c>
      <c r="J15" s="57" t="e">
        <f ca="1">INDEX(Sheet1!J:J,MATCH(#REF!,INDIRECT("sheet1!"&amp;VLOOKUP(Sheet1!$J$1,帮助!$BR:$BS,2,FALSE)&amp;":"&amp;VLOOKUP(Sheet1!$J$1,帮助!$BR:$BS,2,FALSE)),0))</f>
        <v>#REF!</v>
      </c>
      <c r="K15" s="57" t="e">
        <f ca="1">INDEX(Sheet1!K:K,MATCH(#REF!,INDIRECT("sheet1!"&amp;VLOOKUP(Sheet1!$J$1,帮助!$BR:$BS,2,FALSE)&amp;":"&amp;VLOOKUP(Sheet1!$J$1,帮助!$BR:$BS,2,FALSE)),0))</f>
        <v>#REF!</v>
      </c>
      <c r="L15" s="57" t="e">
        <f ca="1">INDEX(Sheet1!L:L,MATCH(#REF!,INDIRECT("sheet1!"&amp;VLOOKUP(Sheet1!$J$1,帮助!$BR:$BS,2,FALSE)&amp;":"&amp;VLOOKUP(Sheet1!$J$1,帮助!$BR:$BS,2,FALSE)),0))</f>
        <v>#REF!</v>
      </c>
      <c r="M15" s="57" t="e">
        <f ca="1">INDEX(Sheet1!M:M,MATCH(#REF!,INDIRECT("sheet1!"&amp;VLOOKUP(Sheet1!$J$1,帮助!$BR:$BS,2,FALSE)&amp;":"&amp;VLOOKUP(Sheet1!$J$1,帮助!$BR:$BS,2,FALSE)),0))</f>
        <v>#REF!</v>
      </c>
      <c r="N15" s="57" t="e">
        <f ca="1">INDEX(Sheet1!N:N,MATCH(#REF!,INDIRECT("sheet1!"&amp;VLOOKUP(Sheet1!$J$1,帮助!$BR:$BS,2,FALSE)&amp;":"&amp;VLOOKUP(Sheet1!$J$1,帮助!$BR:$BS,2,FALSE)),0))</f>
        <v>#REF!</v>
      </c>
      <c r="O15" s="57" t="e">
        <f ca="1">INDEX(Sheet1!#REF!,MATCH(#REF!,INDIRECT("sheet1!"&amp;VLOOKUP(Sheet1!$J$1,帮助!$BR:$BS,2,FALSE)&amp;":"&amp;VLOOKUP(Sheet1!$J$1,帮助!$BR:$BS,2,FALSE)),0))</f>
        <v>#REF!</v>
      </c>
      <c r="P15" s="57" t="e">
        <f ca="1">INDEX(Sheet1!#REF!,MATCH(#REF!,INDIRECT("sheet1!"&amp;VLOOKUP(Sheet1!$J$1,帮助!$BR:$BS,2,FALSE)&amp;":"&amp;VLOOKUP(Sheet1!$J$1,帮助!$BR:$BS,2,FALSE)),0))</f>
        <v>#REF!</v>
      </c>
      <c r="Q15" s="57" t="e">
        <f ca="1">INDEX(Sheet1!O:O,MATCH(#REF!,INDIRECT("sheet1!"&amp;VLOOKUP(Sheet1!$J$1,帮助!$BR:$BS,2,FALSE)&amp;":"&amp;VLOOKUP(Sheet1!$J$1,帮助!$BR:$BS,2,FALSE)),0))</f>
        <v>#REF!</v>
      </c>
      <c r="R15" s="57" t="e">
        <f ca="1">INDEX(Sheet1!P:P,MATCH(#REF!,INDIRECT("sheet1!"&amp;VLOOKUP(Sheet1!$J$1,帮助!$BR:$BS,2,FALSE)&amp;":"&amp;VLOOKUP(Sheet1!$J$1,帮助!$BR:$BS,2,FALSE)),0))</f>
        <v>#REF!</v>
      </c>
      <c r="S15" s="57" t="e">
        <f ca="1">INDEX(Sheet1!Q:Q,MATCH(#REF!,INDIRECT("sheet1!"&amp;VLOOKUP(Sheet1!$J$1,帮助!$BR:$BS,2,FALSE)&amp;":"&amp;VLOOKUP(Sheet1!$J$1,帮助!$BR:$BS,2,FALSE)),0))</f>
        <v>#REF!</v>
      </c>
      <c r="T15" s="57" t="e">
        <f ca="1">INDEX(Sheet1!R:R,MATCH(#REF!,INDIRECT("sheet1!"&amp;VLOOKUP(Sheet1!$J$1,帮助!$BR:$BS,2,FALSE)&amp;":"&amp;VLOOKUP(Sheet1!$J$1,帮助!$BR:$BS,2,FALSE)),0))</f>
        <v>#REF!</v>
      </c>
      <c r="U15" s="57" t="e">
        <f ca="1">INDEX(Sheet1!S:S,MATCH(#REF!,INDIRECT("sheet1!"&amp;VLOOKUP(Sheet1!$J$1,帮助!$BR:$BS,2,FALSE)&amp;":"&amp;VLOOKUP(Sheet1!$J$1,帮助!$BR:$BS,2,FALSE)),0))</f>
        <v>#REF!</v>
      </c>
    </row>
    <row r="16" spans="2:21">
      <c r="B16" s="57" t="e">
        <f ca="1">INDEX(Sheet1!A:A,MATCH(#REF!,INDIRECT("sheet1!"&amp;VLOOKUP(Sheet1!$J$1,帮助!$BR:$BS,2,FALSE)&amp;":"&amp;VLOOKUP(Sheet1!$J$1,帮助!$BR:$BS,2,FALSE)),0))</f>
        <v>#REF!</v>
      </c>
      <c r="C16" s="57" t="e">
        <f ca="1">INDEX(Sheet1!B:B,MATCH(#REF!,INDIRECT("sheet1!"&amp;VLOOKUP(Sheet1!$J$1,帮助!$BR:$BS,2,FALSE)&amp;":"&amp;VLOOKUP(Sheet1!$J$1,帮助!$BR:$BS,2,FALSE)),0))</f>
        <v>#REF!</v>
      </c>
      <c r="D16" s="57" t="e">
        <f ca="1">INDEX(Sheet1!D:D,MATCH(#REF!,INDIRECT("sheet1!"&amp;VLOOKUP(Sheet1!$J$1,帮助!$BR:$BS,2,FALSE)&amp;":"&amp;VLOOKUP(Sheet1!$J$1,帮助!$BR:$BS,2,FALSE)),0))</f>
        <v>#REF!</v>
      </c>
      <c r="E16" s="57" t="e">
        <f ca="1">INDEX(Sheet1!E:E,MATCH(#REF!,INDIRECT("sheet1!"&amp;VLOOKUP(Sheet1!$J$1,帮助!$BR:$BS,2,FALSE)&amp;":"&amp;VLOOKUP(Sheet1!$J$1,帮助!$BR:$BS,2,FALSE)),0))</f>
        <v>#REF!</v>
      </c>
      <c r="F16" s="57" t="e">
        <f ca="1">INDEX(Sheet1!F:F,MATCH(#REF!,INDIRECT("sheet1!"&amp;VLOOKUP(Sheet1!$J$1,帮助!$BR:$BS,2,FALSE)&amp;":"&amp;VLOOKUP(Sheet1!$J$1,帮助!$BR:$BS,2,FALSE)),0))</f>
        <v>#REF!</v>
      </c>
      <c r="G16" s="57" t="e">
        <f ca="1">INDEX(Sheet1!G:G,MATCH(#REF!,INDIRECT("sheet1!"&amp;VLOOKUP(Sheet1!$J$1,帮助!$BR:$BS,2,FALSE)&amp;":"&amp;VLOOKUP(Sheet1!$J$1,帮助!$BR:$BS,2,FALSE)),0))</f>
        <v>#REF!</v>
      </c>
      <c r="H16" s="57" t="e">
        <f ca="1">INDEX(Sheet1!H:H,MATCH(#REF!,INDIRECT("sheet1!"&amp;VLOOKUP(Sheet1!$J$1,帮助!$BR:$BS,2,FALSE)&amp;":"&amp;VLOOKUP(Sheet1!$J$1,帮助!$BR:$BS,2,FALSE)),0))</f>
        <v>#REF!</v>
      </c>
      <c r="I16" s="57" t="e">
        <f ca="1">INDEX(Sheet1!I:I,MATCH(#REF!,INDIRECT("sheet1!"&amp;VLOOKUP(Sheet1!$J$1,帮助!$BR:$BS,2,FALSE)&amp;":"&amp;VLOOKUP(Sheet1!$J$1,帮助!$BR:$BS,2,FALSE)),0))</f>
        <v>#REF!</v>
      </c>
      <c r="J16" s="57" t="e">
        <f ca="1">INDEX(Sheet1!J:J,MATCH(#REF!,INDIRECT("sheet1!"&amp;VLOOKUP(Sheet1!$J$1,帮助!$BR:$BS,2,FALSE)&amp;":"&amp;VLOOKUP(Sheet1!$J$1,帮助!$BR:$BS,2,FALSE)),0))</f>
        <v>#REF!</v>
      </c>
      <c r="K16" s="57" t="e">
        <f ca="1">INDEX(Sheet1!K:K,MATCH(#REF!,INDIRECT("sheet1!"&amp;VLOOKUP(Sheet1!$J$1,帮助!$BR:$BS,2,FALSE)&amp;":"&amp;VLOOKUP(Sheet1!$J$1,帮助!$BR:$BS,2,FALSE)),0))</f>
        <v>#REF!</v>
      </c>
      <c r="L16" s="57" t="e">
        <f ca="1">INDEX(Sheet1!L:L,MATCH(#REF!,INDIRECT("sheet1!"&amp;VLOOKUP(Sheet1!$J$1,帮助!$BR:$BS,2,FALSE)&amp;":"&amp;VLOOKUP(Sheet1!$J$1,帮助!$BR:$BS,2,FALSE)),0))</f>
        <v>#REF!</v>
      </c>
      <c r="M16" s="57" t="e">
        <f ca="1">INDEX(Sheet1!M:M,MATCH(#REF!,INDIRECT("sheet1!"&amp;VLOOKUP(Sheet1!$J$1,帮助!$BR:$BS,2,FALSE)&amp;":"&amp;VLOOKUP(Sheet1!$J$1,帮助!$BR:$BS,2,FALSE)),0))</f>
        <v>#REF!</v>
      </c>
      <c r="N16" s="57" t="e">
        <f ca="1">INDEX(Sheet1!N:N,MATCH(#REF!,INDIRECT("sheet1!"&amp;VLOOKUP(Sheet1!$J$1,帮助!$BR:$BS,2,FALSE)&amp;":"&amp;VLOOKUP(Sheet1!$J$1,帮助!$BR:$BS,2,FALSE)),0))</f>
        <v>#REF!</v>
      </c>
      <c r="O16" s="57" t="e">
        <f ca="1">INDEX(Sheet1!#REF!,MATCH(#REF!,INDIRECT("sheet1!"&amp;VLOOKUP(Sheet1!$J$1,帮助!$BR:$BS,2,FALSE)&amp;":"&amp;VLOOKUP(Sheet1!$J$1,帮助!$BR:$BS,2,FALSE)),0))</f>
        <v>#REF!</v>
      </c>
      <c r="P16" s="57" t="e">
        <f ca="1">INDEX(Sheet1!#REF!,MATCH(#REF!,INDIRECT("sheet1!"&amp;VLOOKUP(Sheet1!$J$1,帮助!$BR:$BS,2,FALSE)&amp;":"&amp;VLOOKUP(Sheet1!$J$1,帮助!$BR:$BS,2,FALSE)),0))</f>
        <v>#REF!</v>
      </c>
      <c r="Q16" s="57" t="e">
        <f ca="1">INDEX(Sheet1!O:O,MATCH(#REF!,INDIRECT("sheet1!"&amp;VLOOKUP(Sheet1!$J$1,帮助!$BR:$BS,2,FALSE)&amp;":"&amp;VLOOKUP(Sheet1!$J$1,帮助!$BR:$BS,2,FALSE)),0))</f>
        <v>#REF!</v>
      </c>
      <c r="R16" s="57" t="e">
        <f ca="1">INDEX(Sheet1!P:P,MATCH(#REF!,INDIRECT("sheet1!"&amp;VLOOKUP(Sheet1!$J$1,帮助!$BR:$BS,2,FALSE)&amp;":"&amp;VLOOKUP(Sheet1!$J$1,帮助!$BR:$BS,2,FALSE)),0))</f>
        <v>#REF!</v>
      </c>
      <c r="S16" s="57" t="e">
        <f ca="1">INDEX(Sheet1!Q:Q,MATCH(#REF!,INDIRECT("sheet1!"&amp;VLOOKUP(Sheet1!$J$1,帮助!$BR:$BS,2,FALSE)&amp;":"&amp;VLOOKUP(Sheet1!$J$1,帮助!$BR:$BS,2,FALSE)),0))</f>
        <v>#REF!</v>
      </c>
      <c r="T16" s="57" t="e">
        <f ca="1">INDEX(Sheet1!R:R,MATCH(#REF!,INDIRECT("sheet1!"&amp;VLOOKUP(Sheet1!$J$1,帮助!$BR:$BS,2,FALSE)&amp;":"&amp;VLOOKUP(Sheet1!$J$1,帮助!$BR:$BS,2,FALSE)),0))</f>
        <v>#REF!</v>
      </c>
      <c r="U16" s="57" t="e">
        <f ca="1">INDEX(Sheet1!S:S,MATCH(#REF!,INDIRECT("sheet1!"&amp;VLOOKUP(Sheet1!$J$1,帮助!$BR:$BS,2,FALSE)&amp;":"&amp;VLOOKUP(Sheet1!$J$1,帮助!$BR:$BS,2,FALSE)),0))</f>
        <v>#REF!</v>
      </c>
    </row>
    <row r="17" spans="2:12"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</row>
    <row r="18" spans="1:12">
      <c r="A18" s="53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</row>
    <row r="19" spans="1:12">
      <c r="A19" s="53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</row>
    <row r="20" spans="1:12">
      <c r="A20" s="53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</row>
    <row r="21" spans="1:12">
      <c r="A21" s="53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</row>
    <row r="22" spans="1:12">
      <c r="A22" s="53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</row>
    <row r="23" spans="1:12">
      <c r="A23" s="53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</row>
    <row r="24" spans="1:12">
      <c r="A24" s="53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</row>
    <row r="25" spans="1:12">
      <c r="A25" s="53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</row>
  </sheetData>
  <protectedRanges>
    <protectedRange sqref="B17:L25 B3:U16" name="区域1_2" securityDescriptor=""/>
    <protectedRange sqref="A2" name="区域1_1_1" securityDescriptor=""/>
  </protectedRange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>
    <tabColor rgb="FFFF0000"/>
  </sheetPr>
  <dimension ref="A1:BT58"/>
  <sheetViews>
    <sheetView topLeftCell="D1" workbookViewId="0">
      <selection activeCell="C15" sqref="C15"/>
    </sheetView>
  </sheetViews>
  <sheetFormatPr defaultColWidth="9" defaultRowHeight="13.5"/>
  <cols>
    <col min="1" max="1" width="21.6666666666667" style="15" customWidth="1"/>
    <col min="2" max="2" width="4.44166666666667" style="16" customWidth="1"/>
    <col min="3" max="3" width="8.66666666666667" style="16" customWidth="1"/>
    <col min="4" max="4" width="4.44166666666667" style="16" customWidth="1"/>
    <col min="5" max="7" width="9" style="17" customWidth="1"/>
    <col min="8" max="8" width="9" style="18"/>
    <col min="9" max="9" width="25.225" style="16" customWidth="1"/>
    <col min="10" max="77" width="9" style="16" customWidth="1"/>
    <col min="78" max="16384" width="9" style="16"/>
  </cols>
  <sheetData>
    <row r="1" spans="1:69">
      <c r="A1" s="19"/>
      <c r="B1" s="20"/>
      <c r="C1" s="20"/>
      <c r="D1" s="21" t="s">
        <v>100</v>
      </c>
      <c r="E1" s="21" t="s">
        <v>101</v>
      </c>
      <c r="F1" s="22"/>
      <c r="G1" s="22"/>
      <c r="H1" s="23"/>
      <c r="I1" s="14"/>
      <c r="J1" s="20"/>
      <c r="K1" s="44" t="s">
        <v>1</v>
      </c>
      <c r="L1" s="14"/>
      <c r="M1" s="44" t="s">
        <v>102</v>
      </c>
      <c r="N1" s="44" t="s">
        <v>0</v>
      </c>
      <c r="O1" s="44" t="s">
        <v>103</v>
      </c>
      <c r="P1" s="44" t="s">
        <v>104</v>
      </c>
      <c r="Q1" s="44" t="s">
        <v>105</v>
      </c>
      <c r="R1" s="44" t="s">
        <v>106</v>
      </c>
      <c r="S1" s="44"/>
      <c r="T1" s="44" t="s">
        <v>34</v>
      </c>
      <c r="U1" s="44" t="s">
        <v>22</v>
      </c>
      <c r="V1" s="44" t="s">
        <v>36</v>
      </c>
      <c r="W1" s="44" t="s">
        <v>107</v>
      </c>
      <c r="X1" s="44" t="s">
        <v>37</v>
      </c>
      <c r="Y1" s="44" t="s">
        <v>108</v>
      </c>
      <c r="Z1" s="44" t="s">
        <v>39</v>
      </c>
      <c r="AA1" s="44" t="s">
        <v>109</v>
      </c>
      <c r="AB1" s="44" t="s">
        <v>41</v>
      </c>
      <c r="AC1" s="44" t="s">
        <v>110</v>
      </c>
      <c r="AD1" s="44" t="s">
        <v>43</v>
      </c>
      <c r="AE1" s="44" t="s">
        <v>111</v>
      </c>
      <c r="AF1" s="44" t="s">
        <v>45</v>
      </c>
      <c r="AG1" s="44" t="s">
        <v>112</v>
      </c>
      <c r="AH1" s="44" t="s">
        <v>47</v>
      </c>
      <c r="AI1" s="44" t="s">
        <v>113</v>
      </c>
      <c r="AJ1" s="44" t="s">
        <v>49</v>
      </c>
      <c r="AK1" s="44" t="s">
        <v>114</v>
      </c>
      <c r="AL1" s="44" t="s">
        <v>51</v>
      </c>
      <c r="AM1" s="44" t="s">
        <v>115</v>
      </c>
      <c r="AN1" s="44" t="s">
        <v>53</v>
      </c>
      <c r="AO1" s="44" t="s">
        <v>116</v>
      </c>
      <c r="AP1" s="44" t="s">
        <v>55</v>
      </c>
      <c r="AQ1" s="44" t="s">
        <v>117</v>
      </c>
      <c r="AR1" s="44" t="s">
        <v>118</v>
      </c>
      <c r="AS1" s="44" t="s">
        <v>119</v>
      </c>
      <c r="AT1" s="44" t="s">
        <v>120</v>
      </c>
      <c r="AU1" s="44" t="s">
        <v>121</v>
      </c>
      <c r="AV1" s="44" t="s">
        <v>122</v>
      </c>
      <c r="AW1" s="44" t="s">
        <v>123</v>
      </c>
      <c r="AX1" s="44" t="s">
        <v>124</v>
      </c>
      <c r="AY1" s="44" t="s">
        <v>125</v>
      </c>
      <c r="AZ1" s="44" t="s">
        <v>126</v>
      </c>
      <c r="BA1" s="44" t="s">
        <v>127</v>
      </c>
      <c r="BB1" s="44" t="s">
        <v>128</v>
      </c>
      <c r="BC1" s="44" t="s">
        <v>129</v>
      </c>
      <c r="BD1" s="44" t="s">
        <v>130</v>
      </c>
      <c r="BE1" s="44" t="s">
        <v>131</v>
      </c>
      <c r="BF1" s="44" t="s">
        <v>132</v>
      </c>
      <c r="BG1" s="44" t="s">
        <v>133</v>
      </c>
      <c r="BH1" s="44" t="s">
        <v>134</v>
      </c>
      <c r="BI1" s="44" t="s">
        <v>135</v>
      </c>
      <c r="BJ1" s="44" t="s">
        <v>136</v>
      </c>
      <c r="BK1" s="44" t="s">
        <v>137</v>
      </c>
      <c r="BL1" s="44" t="s">
        <v>138</v>
      </c>
      <c r="BM1" s="44" t="s">
        <v>139</v>
      </c>
      <c r="BN1" s="44" t="s">
        <v>140</v>
      </c>
      <c r="BO1" s="44" t="s">
        <v>141</v>
      </c>
      <c r="BP1" s="44" t="s">
        <v>142</v>
      </c>
      <c r="BQ1" s="44" t="s">
        <v>143</v>
      </c>
    </row>
    <row r="2" spans="1:69">
      <c r="A2" s="19"/>
      <c r="B2" s="24"/>
      <c r="C2" s="25"/>
      <c r="D2" s="20"/>
      <c r="E2" s="24" t="s">
        <v>3</v>
      </c>
      <c r="F2" s="26">
        <v>660205</v>
      </c>
      <c r="G2" s="20"/>
      <c r="H2" s="23"/>
      <c r="I2" s="14"/>
      <c r="J2" s="45"/>
      <c r="K2" s="44" t="s">
        <v>144</v>
      </c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</row>
    <row r="3" spans="1:69">
      <c r="A3" s="19"/>
      <c r="B3" s="24"/>
      <c r="C3" s="25"/>
      <c r="D3" s="25"/>
      <c r="F3" s="20"/>
      <c r="G3" s="20"/>
      <c r="H3" s="27"/>
      <c r="I3" s="14"/>
      <c r="J3" s="20"/>
      <c r="K3" s="44" t="s">
        <v>145</v>
      </c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</row>
    <row r="4" spans="1:69">
      <c r="A4" s="28"/>
      <c r="B4" s="24"/>
      <c r="C4" s="24"/>
      <c r="D4" s="25"/>
      <c r="E4" s="24"/>
      <c r="G4" s="20"/>
      <c r="H4" s="27"/>
      <c r="I4" s="14"/>
      <c r="J4" s="20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</row>
    <row r="5" spans="1:69">
      <c r="A5" s="28"/>
      <c r="B5" s="24"/>
      <c r="C5" s="24"/>
      <c r="D5" s="25"/>
      <c r="E5" s="20"/>
      <c r="F5" s="20"/>
      <c r="G5" s="20"/>
      <c r="H5" s="27"/>
      <c r="I5" s="14"/>
      <c r="J5" s="2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</row>
    <row r="6" spans="1:69">
      <c r="A6" s="19"/>
      <c r="B6" s="24"/>
      <c r="C6" s="24"/>
      <c r="D6" s="20"/>
      <c r="E6" s="20"/>
      <c r="F6" s="20"/>
      <c r="G6" s="20"/>
      <c r="H6" s="27"/>
      <c r="I6" s="44" t="s">
        <v>146</v>
      </c>
      <c r="J6" s="4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</row>
    <row r="7" spans="1:69">
      <c r="A7" s="19"/>
      <c r="B7" s="24"/>
      <c r="C7" s="24"/>
      <c r="D7" s="20"/>
      <c r="E7" s="24" t="s">
        <v>147</v>
      </c>
      <c r="F7" s="29" t="str">
        <f>J4&amp;"index.php/Qwadmin/Rwxy/echosheetname?"</f>
        <v>index.php/Qwadmin/Rwxy/echosheetname?</v>
      </c>
      <c r="G7" s="20"/>
      <c r="H7" s="27"/>
      <c r="I7" s="44" t="s">
        <v>148</v>
      </c>
      <c r="J7" s="4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</row>
    <row r="8" s="13" customFormat="1" ht="14.25" spans="1:8">
      <c r="A8" s="30" t="s">
        <v>149</v>
      </c>
      <c r="B8" s="31"/>
      <c r="C8" s="31"/>
      <c r="D8" s="31"/>
      <c r="E8" s="31"/>
      <c r="F8" s="32"/>
      <c r="G8" s="33"/>
      <c r="H8" s="34"/>
    </row>
    <row r="9" spans="1:71">
      <c r="A9" s="35" t="s">
        <v>150</v>
      </c>
      <c r="B9" s="24"/>
      <c r="C9" s="24"/>
      <c r="D9" s="14"/>
      <c r="E9" s="36"/>
      <c r="F9" s="36"/>
      <c r="G9" s="36"/>
      <c r="H9" s="27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6" t="s">
        <v>34</v>
      </c>
      <c r="BS9" s="46" t="s">
        <v>151</v>
      </c>
    </row>
    <row r="10" s="14" customFormat="1" spans="1:71">
      <c r="A10" s="35"/>
      <c r="B10" s="20"/>
      <c r="C10" s="20"/>
      <c r="D10" s="24"/>
      <c r="E10" s="36"/>
      <c r="F10" s="36"/>
      <c r="G10" s="36"/>
      <c r="H10" s="27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R10" s="14" t="s">
        <v>35</v>
      </c>
      <c r="BS10" s="44" t="s">
        <v>152</v>
      </c>
    </row>
    <row r="11" spans="1:71">
      <c r="A11" s="35"/>
      <c r="B11" s="37"/>
      <c r="C11" s="37"/>
      <c r="D11" s="37"/>
      <c r="E11" s="36"/>
      <c r="F11" s="38"/>
      <c r="G11" s="38"/>
      <c r="H11" s="27"/>
      <c r="I11" s="14"/>
      <c r="J11" s="44"/>
      <c r="K11" s="14"/>
      <c r="L11" s="37"/>
      <c r="M11" s="37"/>
      <c r="N11" s="40"/>
      <c r="O11" s="40"/>
      <c r="P11" s="40"/>
      <c r="Q11" s="40"/>
      <c r="R11" s="40"/>
      <c r="S11" s="40"/>
      <c r="T11" s="40"/>
      <c r="U11" s="40"/>
      <c r="W11" s="40"/>
      <c r="X11" s="40"/>
      <c r="BR11" s="16" t="s">
        <v>36</v>
      </c>
      <c r="BS11" s="46" t="s">
        <v>153</v>
      </c>
    </row>
    <row r="12" spans="1:71">
      <c r="A12" s="39"/>
      <c r="B12" s="40"/>
      <c r="C12" s="40"/>
      <c r="D12" s="40"/>
      <c r="E12" s="41"/>
      <c r="F12" s="42"/>
      <c r="G12" s="42"/>
      <c r="H12" s="43"/>
      <c r="J12" s="46"/>
      <c r="L12" s="40"/>
      <c r="M12" s="40"/>
      <c r="N12" s="40"/>
      <c r="O12" s="40"/>
      <c r="P12" s="40"/>
      <c r="Q12" s="40"/>
      <c r="R12" s="40"/>
      <c r="S12" s="40"/>
      <c r="T12" s="40"/>
      <c r="U12" s="40"/>
      <c r="W12" s="40"/>
      <c r="X12" s="40"/>
      <c r="BR12" s="16" t="s">
        <v>6</v>
      </c>
      <c r="BS12" s="44" t="s">
        <v>154</v>
      </c>
    </row>
    <row r="13" spans="1:71">
      <c r="A13" s="39"/>
      <c r="B13" s="40"/>
      <c r="C13" s="40"/>
      <c r="D13" s="40"/>
      <c r="F13" s="42"/>
      <c r="G13" s="42"/>
      <c r="J13" s="46"/>
      <c r="L13" s="40"/>
      <c r="M13" s="40"/>
      <c r="N13" s="40"/>
      <c r="O13" s="40"/>
      <c r="P13" s="40"/>
      <c r="Q13" s="40"/>
      <c r="R13" s="40"/>
      <c r="S13" s="40"/>
      <c r="T13" s="40"/>
      <c r="U13" s="40"/>
      <c r="W13" s="40"/>
      <c r="X13" s="40"/>
      <c r="BR13" s="16" t="s">
        <v>37</v>
      </c>
      <c r="BS13" s="46" t="s">
        <v>155</v>
      </c>
    </row>
    <row r="14" spans="1:71">
      <c r="A14" s="39"/>
      <c r="B14" s="40"/>
      <c r="C14" s="40"/>
      <c r="D14" s="40"/>
      <c r="F14" s="42"/>
      <c r="G14" s="42"/>
      <c r="J14" s="46"/>
      <c r="L14" s="40"/>
      <c r="M14" s="40"/>
      <c r="N14" s="40"/>
      <c r="O14" s="40"/>
      <c r="P14" s="40"/>
      <c r="Q14" s="40"/>
      <c r="R14" s="40"/>
      <c r="S14" s="40"/>
      <c r="T14" s="40"/>
      <c r="U14" s="40"/>
      <c r="W14" s="40"/>
      <c r="X14" s="40"/>
      <c r="BR14" s="16" t="s">
        <v>38</v>
      </c>
      <c r="BS14" s="44" t="s">
        <v>156</v>
      </c>
    </row>
    <row r="15" spans="1:71">
      <c r="A15" s="39"/>
      <c r="B15" s="40"/>
      <c r="C15" s="40"/>
      <c r="D15" s="40"/>
      <c r="F15" s="42"/>
      <c r="G15" s="42"/>
      <c r="J15" s="46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BR15" s="16" t="s">
        <v>39</v>
      </c>
      <c r="BS15" s="46" t="s">
        <v>157</v>
      </c>
    </row>
    <row r="16" spans="1:71">
      <c r="A16" s="39"/>
      <c r="B16" s="40"/>
      <c r="C16" s="40"/>
      <c r="D16" s="40"/>
      <c r="F16" s="42"/>
      <c r="G16" s="42"/>
      <c r="I16" s="46"/>
      <c r="J16" s="46"/>
      <c r="L16" s="40"/>
      <c r="M16" s="40"/>
      <c r="N16" s="40"/>
      <c r="O16" s="40"/>
      <c r="P16" s="40"/>
      <c r="Q16" s="40"/>
      <c r="R16" s="40"/>
      <c r="S16" s="40"/>
      <c r="T16" s="40"/>
      <c r="U16" s="40"/>
      <c r="W16" s="40"/>
      <c r="X16" s="40"/>
      <c r="BR16" s="16" t="s">
        <v>40</v>
      </c>
      <c r="BS16" s="16" t="s">
        <v>158</v>
      </c>
    </row>
    <row r="17" spans="1:71">
      <c r="A17" s="39"/>
      <c r="B17" s="40"/>
      <c r="C17" s="40"/>
      <c r="D17" s="40"/>
      <c r="F17" s="42"/>
      <c r="G17" s="42"/>
      <c r="I17" s="46"/>
      <c r="J17" s="46"/>
      <c r="L17" s="40"/>
      <c r="M17" s="40"/>
      <c r="N17" s="40"/>
      <c r="O17" s="40"/>
      <c r="P17" s="40"/>
      <c r="Q17" s="40"/>
      <c r="R17" s="40"/>
      <c r="S17" s="40"/>
      <c r="T17" s="40"/>
      <c r="U17" s="40"/>
      <c r="W17" s="40"/>
      <c r="X17" s="40"/>
      <c r="BR17" s="16" t="s">
        <v>41</v>
      </c>
      <c r="BS17" s="16" t="s">
        <v>159</v>
      </c>
    </row>
    <row r="18" spans="1:71">
      <c r="A18" s="39"/>
      <c r="B18" s="40"/>
      <c r="C18" s="40"/>
      <c r="D18" s="40"/>
      <c r="F18" s="42"/>
      <c r="G18" s="42"/>
      <c r="J18" s="46"/>
      <c r="L18" s="40"/>
      <c r="M18" s="40"/>
      <c r="N18" s="40"/>
      <c r="O18" s="40"/>
      <c r="P18" s="40"/>
      <c r="Q18" s="40"/>
      <c r="R18" s="40"/>
      <c r="S18" s="40"/>
      <c r="T18" s="40"/>
      <c r="U18" s="40"/>
      <c r="W18" s="40"/>
      <c r="X18" s="40"/>
      <c r="BR18" s="16" t="s">
        <v>42</v>
      </c>
      <c r="BS18" s="16" t="s">
        <v>160</v>
      </c>
    </row>
    <row r="19" spans="1:71">
      <c r="A19" s="39"/>
      <c r="B19" s="40"/>
      <c r="C19" s="40"/>
      <c r="D19" s="40"/>
      <c r="F19" s="42"/>
      <c r="G19" s="42"/>
      <c r="J19" s="46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BR19" s="16" t="s">
        <v>43</v>
      </c>
      <c r="BS19" s="16" t="s">
        <v>161</v>
      </c>
    </row>
    <row r="20" spans="1:71">
      <c r="A20" s="39"/>
      <c r="B20" s="40"/>
      <c r="C20" s="40"/>
      <c r="D20" s="40"/>
      <c r="F20" s="42"/>
      <c r="G20" s="42"/>
      <c r="J20" s="46"/>
      <c r="L20" s="40"/>
      <c r="M20" s="40"/>
      <c r="N20" s="40"/>
      <c r="O20" s="40"/>
      <c r="P20" s="40"/>
      <c r="Q20" s="40"/>
      <c r="R20" s="40"/>
      <c r="S20" s="40"/>
      <c r="T20" s="40"/>
      <c r="U20" s="40"/>
      <c r="W20" s="40"/>
      <c r="X20" s="40"/>
      <c r="BR20" s="16" t="s">
        <v>44</v>
      </c>
      <c r="BS20" s="16" t="s">
        <v>162</v>
      </c>
    </row>
    <row r="21" spans="1:71">
      <c r="A21" s="39"/>
      <c r="B21" s="40"/>
      <c r="C21" s="40"/>
      <c r="D21" s="40"/>
      <c r="F21" s="42"/>
      <c r="G21" s="42"/>
      <c r="J21" s="46"/>
      <c r="L21" s="40"/>
      <c r="M21" s="40"/>
      <c r="N21" s="40"/>
      <c r="O21" s="40"/>
      <c r="P21" s="40"/>
      <c r="Q21" s="40"/>
      <c r="R21" s="40"/>
      <c r="S21" s="40"/>
      <c r="T21" s="40"/>
      <c r="U21" s="40"/>
      <c r="W21" s="40"/>
      <c r="X21" s="40"/>
      <c r="BR21" s="16" t="s">
        <v>45</v>
      </c>
      <c r="BS21" s="16" t="s">
        <v>163</v>
      </c>
    </row>
    <row r="22" spans="1:71">
      <c r="A22" s="39"/>
      <c r="B22" s="40"/>
      <c r="C22" s="40"/>
      <c r="D22" s="40"/>
      <c r="F22" s="42"/>
      <c r="G22" s="42"/>
      <c r="J22" s="46"/>
      <c r="L22" s="40"/>
      <c r="M22" s="40"/>
      <c r="N22" s="40"/>
      <c r="O22" s="40"/>
      <c r="P22" s="40"/>
      <c r="Q22" s="40"/>
      <c r="R22" s="40"/>
      <c r="S22" s="40"/>
      <c r="T22" s="40"/>
      <c r="U22" s="40"/>
      <c r="W22" s="40"/>
      <c r="X22" s="40"/>
      <c r="BR22" s="16" t="s">
        <v>46</v>
      </c>
      <c r="BS22" s="16" t="s">
        <v>164</v>
      </c>
    </row>
    <row r="23" spans="1:71">
      <c r="A23" s="39"/>
      <c r="B23" s="40"/>
      <c r="C23" s="40"/>
      <c r="D23" s="40"/>
      <c r="F23" s="42"/>
      <c r="G23" s="42"/>
      <c r="J23" s="46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BR23" s="16" t="s">
        <v>47</v>
      </c>
      <c r="BS23" s="16" t="s">
        <v>165</v>
      </c>
    </row>
    <row r="24" spans="1:71">
      <c r="A24" s="39"/>
      <c r="B24" s="40"/>
      <c r="C24" s="40"/>
      <c r="D24" s="40"/>
      <c r="F24" s="42"/>
      <c r="G24" s="42"/>
      <c r="J24" s="46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BR24" s="16" t="s">
        <v>48</v>
      </c>
      <c r="BS24" s="16" t="s">
        <v>166</v>
      </c>
    </row>
    <row r="25" spans="1:71">
      <c r="A25" s="39"/>
      <c r="B25" s="40"/>
      <c r="C25" s="40"/>
      <c r="D25" s="40"/>
      <c r="F25" s="42"/>
      <c r="G25" s="42"/>
      <c r="J25" s="46"/>
      <c r="L25" s="40"/>
      <c r="M25" s="40"/>
      <c r="N25" s="40"/>
      <c r="O25" s="40"/>
      <c r="P25" s="40"/>
      <c r="Q25" s="40"/>
      <c r="R25" s="40"/>
      <c r="S25" s="40"/>
      <c r="T25" s="40"/>
      <c r="U25" s="40"/>
      <c r="W25" s="40"/>
      <c r="X25" s="40"/>
      <c r="BR25" s="16" t="s">
        <v>49</v>
      </c>
      <c r="BS25" s="16" t="s">
        <v>167</v>
      </c>
    </row>
    <row r="26" spans="1:71">
      <c r="A26" s="39"/>
      <c r="B26" s="40"/>
      <c r="C26" s="40"/>
      <c r="D26" s="40"/>
      <c r="F26" s="42"/>
      <c r="G26" s="42"/>
      <c r="J26" s="46"/>
      <c r="L26" s="40"/>
      <c r="M26" s="40"/>
      <c r="N26" s="40"/>
      <c r="O26" s="40"/>
      <c r="P26" s="40"/>
      <c r="Q26" s="40"/>
      <c r="R26" s="40"/>
      <c r="S26" s="40"/>
      <c r="T26" s="40"/>
      <c r="U26" s="40"/>
      <c r="W26" s="40"/>
      <c r="X26" s="40"/>
      <c r="BR26" s="16" t="s">
        <v>50</v>
      </c>
      <c r="BS26" s="16" t="s">
        <v>168</v>
      </c>
    </row>
    <row r="27" spans="1:71">
      <c r="A27" s="39"/>
      <c r="B27" s="40"/>
      <c r="C27" s="40"/>
      <c r="D27" s="40"/>
      <c r="F27" s="42"/>
      <c r="G27" s="42"/>
      <c r="J27" s="46"/>
      <c r="L27" s="40"/>
      <c r="M27" s="40"/>
      <c r="N27" s="40"/>
      <c r="O27" s="40"/>
      <c r="P27" s="40"/>
      <c r="Q27" s="40"/>
      <c r="R27" s="40"/>
      <c r="S27" s="40"/>
      <c r="T27" s="40"/>
      <c r="U27" s="40"/>
      <c r="W27" s="40"/>
      <c r="X27" s="40"/>
      <c r="BR27" s="16" t="s">
        <v>51</v>
      </c>
      <c r="BS27" s="16" t="s">
        <v>169</v>
      </c>
    </row>
    <row r="28" spans="1:71">
      <c r="A28" s="39"/>
      <c r="B28" s="40"/>
      <c r="C28" s="40"/>
      <c r="D28" s="40"/>
      <c r="F28" s="42"/>
      <c r="G28" s="42"/>
      <c r="J28" s="46"/>
      <c r="L28" s="40"/>
      <c r="M28" s="40"/>
      <c r="N28" s="40"/>
      <c r="O28" s="40"/>
      <c r="P28" s="40"/>
      <c r="Q28" s="40"/>
      <c r="R28" s="40"/>
      <c r="S28" s="40"/>
      <c r="T28" s="40"/>
      <c r="U28" s="40"/>
      <c r="W28" s="40"/>
      <c r="X28" s="40"/>
      <c r="BR28" s="16" t="s">
        <v>52</v>
      </c>
      <c r="BS28" s="16" t="s">
        <v>170</v>
      </c>
    </row>
    <row r="29" spans="1:71">
      <c r="A29" s="39"/>
      <c r="B29" s="40"/>
      <c r="C29" s="40"/>
      <c r="D29" s="40"/>
      <c r="F29" s="42"/>
      <c r="G29" s="42"/>
      <c r="J29" s="46"/>
      <c r="L29" s="40"/>
      <c r="M29" s="40"/>
      <c r="N29" s="40"/>
      <c r="P29" s="40"/>
      <c r="Q29" s="40"/>
      <c r="R29" s="40"/>
      <c r="S29" s="40"/>
      <c r="T29" s="40"/>
      <c r="U29" s="40"/>
      <c r="W29" s="40"/>
      <c r="X29" s="40"/>
      <c r="BR29" s="16" t="s">
        <v>53</v>
      </c>
      <c r="BS29" s="16" t="s">
        <v>171</v>
      </c>
    </row>
    <row r="30" spans="1:71">
      <c r="A30" s="39"/>
      <c r="B30" s="40"/>
      <c r="C30" s="40"/>
      <c r="D30" s="40"/>
      <c r="F30" s="42"/>
      <c r="G30" s="42"/>
      <c r="J30" s="46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BR30" s="16" t="s">
        <v>54</v>
      </c>
      <c r="BS30" s="16" t="s">
        <v>172</v>
      </c>
    </row>
    <row r="31" spans="1:71">
      <c r="A31" s="39"/>
      <c r="B31" s="40"/>
      <c r="C31" s="40"/>
      <c r="D31" s="40"/>
      <c r="F31" s="42"/>
      <c r="G31" s="42"/>
      <c r="J31" s="46"/>
      <c r="L31" s="40"/>
      <c r="M31" s="40"/>
      <c r="N31" s="40"/>
      <c r="O31" s="40"/>
      <c r="P31" s="40"/>
      <c r="Q31" s="40"/>
      <c r="R31" s="40"/>
      <c r="S31" s="40"/>
      <c r="T31" s="40"/>
      <c r="U31" s="40"/>
      <c r="W31" s="40"/>
      <c r="X31" s="40"/>
      <c r="BR31" s="16" t="s">
        <v>55</v>
      </c>
      <c r="BS31" s="16" t="s">
        <v>173</v>
      </c>
    </row>
    <row r="32" spans="1:71">
      <c r="A32" s="39"/>
      <c r="B32" s="40"/>
      <c r="C32" s="40"/>
      <c r="D32" s="40"/>
      <c r="F32" s="42"/>
      <c r="G32" s="42"/>
      <c r="J32" s="46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BR32" s="16" t="s">
        <v>174</v>
      </c>
      <c r="BS32" s="16" t="s">
        <v>175</v>
      </c>
    </row>
    <row r="33" spans="1:71">
      <c r="A33" s="39"/>
      <c r="B33" s="40"/>
      <c r="C33" s="40"/>
      <c r="D33" s="40"/>
      <c r="F33" s="42"/>
      <c r="G33" s="42"/>
      <c r="J33" s="46"/>
      <c r="L33" s="40"/>
      <c r="M33" s="40"/>
      <c r="N33" s="40"/>
      <c r="O33" s="40"/>
      <c r="P33" s="40"/>
      <c r="Q33" s="40"/>
      <c r="R33" s="40"/>
      <c r="S33" s="40"/>
      <c r="T33" s="40"/>
      <c r="U33" s="40"/>
      <c r="W33" s="40"/>
      <c r="X33" s="40"/>
      <c r="BR33" s="16" t="s">
        <v>118</v>
      </c>
      <c r="BS33" s="16" t="s">
        <v>176</v>
      </c>
    </row>
    <row r="34" spans="1:71">
      <c r="A34" s="39"/>
      <c r="B34" s="40"/>
      <c r="C34" s="40"/>
      <c r="D34" s="40"/>
      <c r="F34" s="42"/>
      <c r="G34" s="42"/>
      <c r="J34" s="46"/>
      <c r="L34" s="40"/>
      <c r="M34" s="40"/>
      <c r="N34" s="40"/>
      <c r="O34" s="40"/>
      <c r="P34" s="40"/>
      <c r="Q34" s="40"/>
      <c r="R34" s="40"/>
      <c r="S34" s="40"/>
      <c r="T34" s="40"/>
      <c r="U34" s="40"/>
      <c r="W34" s="40"/>
      <c r="X34" s="40"/>
      <c r="BR34" s="16" t="s">
        <v>177</v>
      </c>
      <c r="BS34" s="16" t="s">
        <v>178</v>
      </c>
    </row>
    <row r="35" spans="1:72">
      <c r="A35" s="39"/>
      <c r="B35" s="40"/>
      <c r="C35" s="40"/>
      <c r="D35" s="40"/>
      <c r="F35" s="42"/>
      <c r="G35" s="42"/>
      <c r="J35" s="46"/>
      <c r="L35" s="40"/>
      <c r="M35" s="40"/>
      <c r="N35" s="40"/>
      <c r="O35" s="40"/>
      <c r="P35" s="40"/>
      <c r="Q35" s="40"/>
      <c r="R35" s="40"/>
      <c r="S35" s="40"/>
      <c r="T35" s="40"/>
      <c r="U35" s="40"/>
      <c r="W35" s="40"/>
      <c r="X35" s="40"/>
      <c r="BR35" s="16" t="s">
        <v>120</v>
      </c>
      <c r="BS35" s="16" t="s">
        <v>179</v>
      </c>
      <c r="BT35" s="16" t="str">
        <f>"A"&amp;BS35</f>
        <v>AAA</v>
      </c>
    </row>
    <row r="36" spans="10:72">
      <c r="J36" s="46"/>
      <c r="BR36" s="16" t="s">
        <v>180</v>
      </c>
      <c r="BS36" s="16" t="s">
        <v>181</v>
      </c>
      <c r="BT36" s="16" t="str">
        <f t="shared" ref="BT36:BT58" si="0">"A"&amp;BS36</f>
        <v>AAB</v>
      </c>
    </row>
    <row r="37" spans="10:72">
      <c r="J37" s="46"/>
      <c r="BR37" s="16" t="s">
        <v>122</v>
      </c>
      <c r="BS37" s="16" t="s">
        <v>182</v>
      </c>
      <c r="BT37" s="16" t="str">
        <f t="shared" si="0"/>
        <v>AAC</v>
      </c>
    </row>
    <row r="38" spans="10:72">
      <c r="J38" s="46"/>
      <c r="BR38" s="16" t="s">
        <v>183</v>
      </c>
      <c r="BS38" s="16" t="s">
        <v>184</v>
      </c>
      <c r="BT38" s="16" t="str">
        <f t="shared" si="0"/>
        <v>AAD</v>
      </c>
    </row>
    <row r="39" spans="10:72">
      <c r="J39" s="46"/>
      <c r="BR39" s="16" t="s">
        <v>124</v>
      </c>
      <c r="BS39" s="16" t="s">
        <v>185</v>
      </c>
      <c r="BT39" s="16" t="str">
        <f t="shared" si="0"/>
        <v>AAE</v>
      </c>
    </row>
    <row r="40" spans="10:72">
      <c r="J40" s="46"/>
      <c r="BR40" s="16" t="s">
        <v>186</v>
      </c>
      <c r="BS40" s="16" t="s">
        <v>187</v>
      </c>
      <c r="BT40" s="16" t="str">
        <f t="shared" si="0"/>
        <v>AAF</v>
      </c>
    </row>
    <row r="41" spans="10:72">
      <c r="J41" s="46"/>
      <c r="BR41" s="16" t="s">
        <v>126</v>
      </c>
      <c r="BS41" s="16" t="s">
        <v>188</v>
      </c>
      <c r="BT41" s="16" t="str">
        <f t="shared" si="0"/>
        <v>AAG</v>
      </c>
    </row>
    <row r="42" spans="10:72">
      <c r="J42" s="46"/>
      <c r="BR42" s="16" t="s">
        <v>189</v>
      </c>
      <c r="BS42" s="16" t="s">
        <v>190</v>
      </c>
      <c r="BT42" s="16" t="str">
        <f t="shared" si="0"/>
        <v>AAH</v>
      </c>
    </row>
    <row r="43" spans="10:72">
      <c r="J43" s="46"/>
      <c r="BR43" s="16" t="s">
        <v>128</v>
      </c>
      <c r="BS43" s="16" t="s">
        <v>191</v>
      </c>
      <c r="BT43" s="16" t="str">
        <f t="shared" si="0"/>
        <v>AAI</v>
      </c>
    </row>
    <row r="44" spans="10:72">
      <c r="J44" s="46"/>
      <c r="BR44" s="16" t="s">
        <v>192</v>
      </c>
      <c r="BS44" s="16" t="s">
        <v>193</v>
      </c>
      <c r="BT44" s="16" t="str">
        <f t="shared" si="0"/>
        <v>AAJ</v>
      </c>
    </row>
    <row r="45" spans="10:72">
      <c r="J45" s="46"/>
      <c r="BR45" s="16" t="s">
        <v>130</v>
      </c>
      <c r="BS45" s="16" t="s">
        <v>194</v>
      </c>
      <c r="BT45" s="16" t="str">
        <f t="shared" si="0"/>
        <v>AAK</v>
      </c>
    </row>
    <row r="46" spans="10:72">
      <c r="J46" s="46"/>
      <c r="BR46" s="16" t="s">
        <v>195</v>
      </c>
      <c r="BS46" s="16" t="s">
        <v>196</v>
      </c>
      <c r="BT46" s="16" t="str">
        <f t="shared" si="0"/>
        <v>AAL</v>
      </c>
    </row>
    <row r="47" spans="10:72">
      <c r="J47" s="46"/>
      <c r="BR47" s="16" t="s">
        <v>132</v>
      </c>
      <c r="BS47" s="16" t="s">
        <v>197</v>
      </c>
      <c r="BT47" s="16" t="str">
        <f t="shared" si="0"/>
        <v>AAM</v>
      </c>
    </row>
    <row r="48" spans="10:72">
      <c r="J48" s="46"/>
      <c r="BR48" s="16" t="s">
        <v>198</v>
      </c>
      <c r="BS48" s="16" t="s">
        <v>199</v>
      </c>
      <c r="BT48" s="16" t="str">
        <f t="shared" si="0"/>
        <v>AAN</v>
      </c>
    </row>
    <row r="49" spans="10:72">
      <c r="J49" s="46"/>
      <c r="BR49" s="16" t="s">
        <v>134</v>
      </c>
      <c r="BS49" s="16" t="s">
        <v>200</v>
      </c>
      <c r="BT49" s="16" t="str">
        <f t="shared" si="0"/>
        <v>AAO</v>
      </c>
    </row>
    <row r="50" spans="70:72">
      <c r="BR50" s="16" t="s">
        <v>201</v>
      </c>
      <c r="BS50" s="16" t="s">
        <v>202</v>
      </c>
      <c r="BT50" s="16" t="str">
        <f t="shared" si="0"/>
        <v>AAP</v>
      </c>
    </row>
    <row r="51" spans="70:72">
      <c r="BR51" s="16" t="s">
        <v>136</v>
      </c>
      <c r="BS51" s="16" t="s">
        <v>203</v>
      </c>
      <c r="BT51" s="16" t="str">
        <f t="shared" si="0"/>
        <v>AAQ</v>
      </c>
    </row>
    <row r="52" spans="70:72">
      <c r="BR52" s="16" t="s">
        <v>204</v>
      </c>
      <c r="BS52" s="16" t="s">
        <v>205</v>
      </c>
      <c r="BT52" s="16" t="str">
        <f t="shared" si="0"/>
        <v>AAR</v>
      </c>
    </row>
    <row r="53" spans="70:72">
      <c r="BR53" s="16" t="s">
        <v>138</v>
      </c>
      <c r="BS53" s="16" t="s">
        <v>206</v>
      </c>
      <c r="BT53" s="16" t="str">
        <f t="shared" si="0"/>
        <v>AAS</v>
      </c>
    </row>
    <row r="54" spans="70:72">
      <c r="BR54" s="16" t="s">
        <v>207</v>
      </c>
      <c r="BS54" s="16" t="s">
        <v>208</v>
      </c>
      <c r="BT54" s="16" t="str">
        <f t="shared" si="0"/>
        <v>AAT</v>
      </c>
    </row>
    <row r="55" spans="70:72">
      <c r="BR55" s="16" t="s">
        <v>140</v>
      </c>
      <c r="BS55" s="16" t="s">
        <v>209</v>
      </c>
      <c r="BT55" s="16" t="str">
        <f t="shared" si="0"/>
        <v>AAU</v>
      </c>
    </row>
    <row r="56" spans="70:72">
      <c r="BR56" s="16" t="s">
        <v>210</v>
      </c>
      <c r="BS56" s="16" t="s">
        <v>211</v>
      </c>
      <c r="BT56" s="16" t="str">
        <f t="shared" si="0"/>
        <v>AAV</v>
      </c>
    </row>
    <row r="57" spans="70:72">
      <c r="BR57" s="16" t="s">
        <v>142</v>
      </c>
      <c r="BS57" s="16" t="s">
        <v>212</v>
      </c>
      <c r="BT57" s="16" t="str">
        <f t="shared" si="0"/>
        <v>AAW</v>
      </c>
    </row>
    <row r="58" spans="70:72">
      <c r="BR58" s="16" t="s">
        <v>213</v>
      </c>
      <c r="BS58" s="16" t="s">
        <v>214</v>
      </c>
      <c r="BT58" s="16" t="str">
        <f t="shared" si="0"/>
        <v>AAX</v>
      </c>
    </row>
  </sheetData>
  <conditionalFormatting sqref="D1 A9:A10 J1:J5 A2:C8">
    <cfRule type="expression" dxfId="0" priority="1" stopIfTrue="1">
      <formula>NOT(ISERROR(SEARCH(" ",A1)))</formula>
    </cfRule>
  </conditionalFormatting>
  <hyperlinks>
    <hyperlink ref="F7" r:id="rId4" display="=J4&amp;&quot;index.php/Qwadmin/Rwxy/echosheetname?&quot;"/>
  </hyperlink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name="Button 1" r:id="rId3">
              <controlPr print="0" defaultSize="0">
                <anchor moveWithCells="1" sizeWithCells="1">
                  <from>
                    <xdr:col>0</xdr:col>
                    <xdr:colOff>342900</xdr:colOff>
                    <xdr:row>2</xdr:row>
                    <xdr:rowOff>175260</xdr:rowOff>
                  </from>
                  <to>
                    <xdr:col>3</xdr:col>
                    <xdr:colOff>7620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P1"/>
  <sheetViews>
    <sheetView workbookViewId="0">
      <selection activeCell="A15" sqref="$A15:$XFD30"/>
    </sheetView>
  </sheetViews>
  <sheetFormatPr defaultColWidth="9" defaultRowHeight="13.5"/>
  <cols>
    <col min="1" max="1" width="13.225" style="1" customWidth="1"/>
    <col min="2" max="2" width="9" style="1" customWidth="1"/>
    <col min="3" max="3" width="12.775" style="1" customWidth="1"/>
    <col min="4" max="4" width="12.6666666666667" style="2" customWidth="1"/>
    <col min="5" max="5" width="13" style="1" customWidth="1"/>
    <col min="6" max="6" width="14.225" style="1" customWidth="1"/>
    <col min="7" max="7" width="13.775" style="1" customWidth="1"/>
    <col min="8" max="8" width="15.3333333333333" style="1" customWidth="1"/>
    <col min="9" max="9" width="10.775" style="1" customWidth="1"/>
    <col min="10" max="10" width="14.225" style="1" customWidth="1"/>
    <col min="11" max="11" width="2.44166666666667" style="1" customWidth="1"/>
    <col min="12" max="12" width="9.775" style="1" customWidth="1"/>
    <col min="13" max="13" width="14.1083333333333" style="1" customWidth="1"/>
    <col min="14" max="14" width="11.775" style="1" customWidth="1"/>
    <col min="15" max="15" width="7.44166666666667" style="1" customWidth="1"/>
    <col min="16" max="16" width="8" style="1" customWidth="1"/>
    <col min="17" max="17" width="7.775" style="1" customWidth="1"/>
    <col min="18" max="18" width="6.33333333333333" style="1" customWidth="1"/>
    <col min="19" max="19" width="9" style="1"/>
    <col min="20" max="26" width="8.10833333333333" style="1" customWidth="1"/>
    <col min="27" max="16384" width="9" style="1"/>
  </cols>
  <sheetData>
    <row r="1" ht="14.4" customHeight="1" spans="1:16">
      <c r="A1" s="3" t="s">
        <v>215</v>
      </c>
      <c r="B1" s="4" t="s">
        <v>1</v>
      </c>
      <c r="C1" s="5" t="s">
        <v>216</v>
      </c>
      <c r="D1" s="6"/>
      <c r="E1" s="7" t="s">
        <v>3</v>
      </c>
      <c r="F1" s="5" t="s">
        <v>4</v>
      </c>
      <c r="I1" s="7" t="s">
        <v>5</v>
      </c>
      <c r="J1" s="8" t="s">
        <v>34</v>
      </c>
      <c r="K1" s="9"/>
      <c r="L1" s="10" t="s">
        <v>217</v>
      </c>
      <c r="M1" s="11" t="s">
        <v>218</v>
      </c>
      <c r="N1" s="9"/>
      <c r="O1" s="9"/>
      <c r="P1" s="12"/>
    </row>
  </sheetData>
  <conditionalFormatting sqref="A1">
    <cfRule type="expression" dxfId="0" priority="2" stopIfTrue="1">
      <formula>NOT(ISERROR(SEARCH(" ",A1)))</formula>
    </cfRule>
    <cfRule type="expression" dxfId="0" priority="3" stopIfTrue="1">
      <formula>NOT(ISERROR(SEARCH(" ",A1)))</formula>
    </cfRule>
    <cfRule type="expression" dxfId="0" priority="4" stopIfTrue="1">
      <formula>NOT(ISERROR(SEARCH(" ",A1)))</formula>
    </cfRule>
  </conditionalFormatting>
  <conditionalFormatting sqref="O1:P1 B1:D1">
    <cfRule type="expression" dxfId="0" priority="1" stopIfTrue="1">
      <formula>NOT(ISERROR(SEARCH(" ",B1)))</formula>
    </cfRule>
  </conditionalFormatting>
  <dataValidations count="4">
    <dataValidation type="list" allowBlank="1" showInputMessage="1" showErrorMessage="1" sqref="A1 O1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I1">
      <formula1>"姓名字段,提示字段,ID字段,匿名填表,缩略显示,分类字段,覆盖上传"</formula1>
    </dataValidation>
    <dataValidation type="list" allowBlank="1" showInputMessage="1" showErrorMessage="1" sqref="P1">
      <formula1>"等于,包含,IN,大于等,小于等,非空,是空"</formula1>
    </dataValidation>
  </dataValidations>
  <pageMargins left="0.699305555555556" right="0.699305555555556" top="0.75" bottom="0.75" header="0.3" footer="0.3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name="Button 1" r:id="rId4">
              <controlPr print="0" defaultSize="0">
                <anchor moveWithCells="1">
                  <from>
                    <xdr:col>7</xdr:col>
                    <xdr:colOff>7620</xdr:colOff>
                    <xdr:row>0</xdr:row>
                    <xdr:rowOff>0</xdr:rowOff>
                  </from>
                  <to>
                    <xdr:col>7</xdr:col>
                    <xdr:colOff>861060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name="Button 2" r:id="rId5">
              <controlPr print="0" defaultSize="0">
                <anchor moveWithCells="1">
                  <from>
                    <xdr:col>6</xdr:col>
                    <xdr:colOff>198120</xdr:colOff>
                    <xdr:row>0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"/>
  <sheetViews>
    <sheetView workbookViewId="0">
      <selection activeCell="H8" sqref="H8"/>
    </sheetView>
  </sheetViews>
  <sheetFormatPr defaultColWidth="9" defaultRowHeight="13.5"/>
  <sheetData/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china</Company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工号查</vt:lpstr>
      <vt:lpstr>帮助</vt:lpstr>
      <vt:lpstr>Sheet2</vt:lpstr>
      <vt:lpstr>生成表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lilyhcn</cp:lastModifiedBy>
  <dcterms:created xsi:type="dcterms:W3CDTF">2017-09-22T01:14:00Z</dcterms:created>
  <cp:lastPrinted>2017-12-11T23:58:00Z</cp:lastPrinted>
  <dcterms:modified xsi:type="dcterms:W3CDTF">2020-09-14T12:50:17Z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